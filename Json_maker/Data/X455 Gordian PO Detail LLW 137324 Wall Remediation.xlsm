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 (2)\Excel\"/>
    </mc:Choice>
  </mc:AlternateContent>
  <bookViews>
    <workbookView xWindow="972" yWindow="240" windowWidth="49668" windowHeight="9960"/>
  </bookViews>
  <sheets>
    <sheet name="Template" sheetId="8" r:id="rId1"/>
    <sheet name="RawData" sheetId="2" r:id="rId2"/>
  </sheets>
  <functionGroups builtInGroupCount="18"/>
  <definedNames>
    <definedName name="_xleta.T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6" i="8" l="1"/>
  <c r="AG17" i="8"/>
  <c r="AG19" i="8" s="1"/>
</calcChain>
</file>

<file path=xl/sharedStrings.xml><?xml version="1.0" encoding="utf-8"?>
<sst xmlns="http://schemas.openxmlformats.org/spreadsheetml/2006/main" count="481" uniqueCount="100">
  <si>
    <t>School Building ID</t>
  </si>
  <si>
    <t>Org ID</t>
  </si>
  <si>
    <t>Title</t>
  </si>
  <si>
    <t>Vendor</t>
  </si>
  <si>
    <t>Project</t>
  </si>
  <si>
    <t>Vendor Information</t>
  </si>
  <si>
    <t>Delivery to Information (School where work performed)</t>
  </si>
  <si>
    <t>Invoice To Information</t>
  </si>
  <si>
    <t>Items to be purchased</t>
  </si>
  <si>
    <t>Project Number</t>
  </si>
  <si>
    <t>Project Title</t>
  </si>
  <si>
    <t>FMS ID</t>
  </si>
  <si>
    <t>LLW #</t>
  </si>
  <si>
    <t>Award</t>
  </si>
  <si>
    <t>Vendor ID</t>
  </si>
  <si>
    <t>Vendor Number</t>
  </si>
  <si>
    <t>Contract No</t>
  </si>
  <si>
    <t>Contract Expiration Date</t>
  </si>
  <si>
    <t>Vendor Name</t>
  </si>
  <si>
    <t>Vendor Address</t>
  </si>
  <si>
    <t>City</t>
  </si>
  <si>
    <t>State</t>
  </si>
  <si>
    <t>Zip Code</t>
  </si>
  <si>
    <t>Address</t>
  </si>
  <si>
    <t>Attention To:(Custodian)</t>
  </si>
  <si>
    <t>Attention To:Phone No.(Custodian)</t>
  </si>
  <si>
    <t>Attention To (Borough Director)</t>
  </si>
  <si>
    <t>Attention To No. (Borough Director)</t>
  </si>
  <si>
    <t>Description</t>
  </si>
  <si>
    <t>Quantity</t>
  </si>
  <si>
    <t>Unit</t>
  </si>
  <si>
    <t>$ Unit Price</t>
  </si>
  <si>
    <t>Comments</t>
  </si>
  <si>
    <t>Total Work order</t>
  </si>
  <si>
    <t>Total Work outstanding billed &amp; unbilled</t>
  </si>
  <si>
    <t>Full Purchase Order Amount</t>
  </si>
  <si>
    <t>Agency</t>
  </si>
  <si>
    <t>X475</t>
  </si>
  <si>
    <t>X455</t>
  </si>
  <si>
    <t>LW24 Pool - Wall Remediation.</t>
  </si>
  <si>
    <t>Gordian</t>
  </si>
  <si>
    <t>Amount Owed</t>
  </si>
  <si>
    <t>24.X455.001.0</t>
  </si>
  <si>
    <t>137324</t>
  </si>
  <si>
    <t>581900371</t>
  </si>
  <si>
    <t>9275735 -NS000</t>
  </si>
  <si>
    <t>11/30/2025</t>
  </si>
  <si>
    <t>30 Patewood Dr</t>
  </si>
  <si>
    <t xml:space="preserve">Greenville    </t>
  </si>
  <si>
    <t>SC</t>
  </si>
  <si>
    <t>29615</t>
  </si>
  <si>
    <t>99 TERRACE VIEW AVENUE</t>
  </si>
  <si>
    <t>Bronx</t>
  </si>
  <si>
    <t>NY</t>
  </si>
  <si>
    <t>10463</t>
  </si>
  <si>
    <t>Custodian</t>
  </si>
  <si>
    <t>DSF</t>
  </si>
  <si>
    <t>44-36 Vernon Boulevard</t>
  </si>
  <si>
    <t>Long Island City</t>
  </si>
  <si>
    <t>11101</t>
  </si>
  <si>
    <t>Licensing Fee</t>
  </si>
  <si>
    <t>1</t>
  </si>
  <si>
    <t>R106401</t>
  </si>
  <si>
    <t>Construction Management</t>
  </si>
  <si>
    <t>24.X455.001.1</t>
  </si>
  <si>
    <t>LW24 Pool - Wall Remediation Supplemental</t>
  </si>
  <si>
    <t>24.X455.001.2</t>
  </si>
  <si>
    <t>LW24 Pool - Wall Remediation Supplemental #2</t>
  </si>
  <si>
    <t>24.X455.001.3</t>
  </si>
  <si>
    <t>LW24 Pool - Wall Remediation Supplemental #3</t>
  </si>
  <si>
    <t>David Dottavio</t>
  </si>
  <si>
    <t>718-904-5406</t>
  </si>
  <si>
    <t>Robert Williams</t>
  </si>
  <si>
    <t>718-610-0250</t>
  </si>
  <si>
    <t>IDEA_CIP</t>
  </si>
  <si>
    <t>23NIDEA</t>
  </si>
  <si>
    <t>Delivery To Information (School where work performed)</t>
  </si>
  <si>
    <t>Invoice  To Information</t>
  </si>
  <si>
    <t xml:space="preserve"> $ Unit Price </t>
  </si>
  <si>
    <t xml:space="preserve"> Amount Owed </t>
  </si>
  <si>
    <t>Project Name</t>
  </si>
  <si>
    <t>LLW</t>
  </si>
  <si>
    <t xml:space="preserve">Contract No </t>
  </si>
  <si>
    <t xml:space="preserve">Contract Expiration Date </t>
  </si>
  <si>
    <t>City1</t>
  </si>
  <si>
    <t>State1</t>
  </si>
  <si>
    <t>Zip Code1</t>
  </si>
  <si>
    <t>School ID / Name</t>
  </si>
  <si>
    <t>Address1</t>
  </si>
  <si>
    <t xml:space="preserve">City2 </t>
  </si>
  <si>
    <t>State2</t>
  </si>
  <si>
    <t xml:space="preserve">Zip Code2 </t>
  </si>
  <si>
    <t>Attention To: (Custodain)</t>
  </si>
  <si>
    <t>Attention To Phone No. (Custodian)</t>
  </si>
  <si>
    <t>Address2</t>
  </si>
  <si>
    <t xml:space="preserve">City3 </t>
  </si>
  <si>
    <t>State3</t>
  </si>
  <si>
    <t xml:space="preserve">Zip Code3 </t>
  </si>
  <si>
    <t>Attention To Phone No. (Borough Director)</t>
  </si>
  <si>
    <t>LW24 Pool - Wall Remediation,Supplemental , Supplemental #2 to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</si>
</sst>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3" formatCode="_(* #,##0.00_);_(* \(#,##0.00\);_(* &quot;-&quot;??_);_(@_)"/>
    <numFmt numFmtId="164" formatCode="&quot;$&quot;#,##0.00"/>
    <numFmt numFmtId="165" formatCode="[$$-409]#,##0.00"/>
  </numFmts>
  <fonts count="10">
    <font>
      <sz val="11"/>
      <color theme="1"/>
      <name val="Aptos Narrow"/>
      <family val="2"/>
      <scheme val="minor"/>
    </font>
    <font>
      <sz val="8"/>
      <color rgb="FF3C4144"/>
      <name val="Tahoma"/>
      <family val="2"/>
    </font>
    <font>
      <b/>
      <sz val="8"/>
      <color indexed="8"/>
      <name val="Tahoma"/>
      <family val="2"/>
    </font>
    <font>
      <sz val="8"/>
      <color theme="1"/>
      <name val="Tahoma"/>
      <family val="2"/>
    </font>
    <font>
      <sz val="8"/>
      <color indexed="8"/>
      <name val="Tahoma"/>
      <family val="2"/>
    </font>
    <font>
      <b/>
      <sz val="8"/>
      <color rgb="FFFF0000"/>
      <name val="Tahoma"/>
      <family val="2"/>
    </font>
    <font>
      <sz val="10"/>
      <color indexed="8"/>
      <name val="Arial"/>
      <family val="2"/>
    </font>
    <font>
      <b/>
      <sz val="10"/>
      <color rgb="FFFF0000"/>
      <name val="Arial"/>
      <family val="2"/>
    </font>
    <font>
      <b/>
      <sz val="8"/>
      <name val="Tahoma"/>
      <family val="2"/>
    </font>
    <font>
      <b/>
      <sz val="7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7FBD1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>
      <alignment vertical="top"/>
    </xf>
  </cellStyleXfs>
  <cellXfs count="5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 readingOrder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left" vertical="center" wrapText="1" readingOrder="1"/>
    </xf>
    <xf numFmtId="164" fontId="2" fillId="0" borderId="1" xfId="0" applyNumberFormat="1" applyFont="1" applyBorder="1" applyAlignment="1">
      <alignment horizontal="right" vertical="center"/>
    </xf>
    <xf numFmtId="0" fontId="4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0" fontId="2" fillId="0" borderId="2" xfId="0" applyFont="1" applyBorder="1" applyAlignment="1">
      <alignment horizontal="left" vertical="center" wrapText="1" readingOrder="1"/>
    </xf>
    <xf numFmtId="0" fontId="3" fillId="0" borderId="3" xfId="0" applyFont="1" applyBorder="1" applyAlignment="1">
      <alignment vertical="center"/>
    </xf>
    <xf numFmtId="164" fontId="2" fillId="0" borderId="3" xfId="0" applyNumberFormat="1" applyFont="1" applyBorder="1" applyAlignment="1">
      <alignment horizontal="right" vertical="center"/>
    </xf>
    <xf numFmtId="164" fontId="2" fillId="0" borderId="4" xfId="0" applyNumberFormat="1" applyFont="1" applyBorder="1" applyAlignment="1">
      <alignment vertical="center"/>
    </xf>
    <xf numFmtId="0" fontId="2" fillId="0" borderId="5" xfId="0" applyFont="1" applyBorder="1" applyAlignment="1">
      <alignment horizontal="left" vertical="center" wrapText="1" readingOrder="1"/>
    </xf>
    <xf numFmtId="0" fontId="3" fillId="0" borderId="6" xfId="0" applyFont="1" applyBorder="1" applyAlignment="1">
      <alignment vertical="center"/>
    </xf>
    <xf numFmtId="164" fontId="2" fillId="0" borderId="6" xfId="0" applyNumberFormat="1" applyFont="1" applyBorder="1" applyAlignment="1">
      <alignment vertical="center"/>
    </xf>
    <xf numFmtId="164" fontId="2" fillId="5" borderId="1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left" vertical="center" wrapText="1" readingOrder="1"/>
    </xf>
    <xf numFmtId="165" fontId="2" fillId="0" borderId="0" xfId="0" applyNumberFormat="1" applyFont="1" applyAlignment="1">
      <alignment horizontal="right"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164" fontId="5" fillId="2" borderId="9" xfId="0" applyNumberFormat="1" applyFont="1" applyFill="1" applyBorder="1" applyAlignment="1">
      <alignment vertical="center"/>
    </xf>
    <xf numFmtId="0" fontId="3" fillId="0" borderId="0" xfId="0" applyFont="1"/>
    <xf numFmtId="0" fontId="6" fillId="0" borderId="0" xfId="1">
      <alignment vertical="top"/>
    </xf>
    <xf numFmtId="14" fontId="4" fillId="0" borderId="1" xfId="0" applyNumberFormat="1" applyFont="1" applyBorder="1" applyAlignment="1">
      <alignment horizontal="center" vertical="center" wrapText="1" readingOrder="1"/>
    </xf>
    <xf numFmtId="14" fontId="6" fillId="0" borderId="0" xfId="1" applyNumberFormat="1">
      <alignment vertical="top"/>
    </xf>
    <xf numFmtId="8" fontId="6" fillId="0" borderId="0" xfId="1" applyNumberFormat="1">
      <alignment vertical="top"/>
    </xf>
    <xf numFmtId="0" fontId="7" fillId="2" borderId="0" xfId="1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8" fillId="7" borderId="7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8" fillId="0" borderId="9" xfId="0" applyFont="1" applyBorder="1" applyAlignment="1">
      <alignment horizontal="center" vertical="center" wrapText="1"/>
    </xf>
    <xf numFmtId="43" fontId="8" fillId="0" borderId="9" xfId="0" applyNumberFormat="1" applyFont="1" applyBorder="1" applyAlignment="1">
      <alignment vertical="center" wrapText="1"/>
    </xf>
    <xf numFmtId="43" fontId="8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20"/>
  <sheetViews>
    <sheetView tabSelected="1" topLeftCell="S1" workbookViewId="0">
      <selection activeCell="AG12" sqref="AG12"/>
    </sheetView>
  </sheetViews>
  <sheetFormatPr defaultColWidth="91.296875" defaultRowHeight="10.199999999999999"/>
  <cols>
    <col min="1" max="1" width="38.8984375" style="32" bestFit="1" customWidth="1"/>
    <col min="2" max="2" width="7.69921875" style="32" bestFit="1" customWidth="1"/>
    <col min="3" max="3" width="6.09765625" style="32" bestFit="1" customWidth="1"/>
    <col min="4" max="4" width="7.09765625" style="32" bestFit="1" customWidth="1"/>
    <col min="5" max="5" width="9" style="32" bestFit="1" customWidth="1"/>
    <col min="6" max="6" width="13.59765625" style="32" bestFit="1" customWidth="1"/>
    <col min="7" max="7" width="12.3984375" style="32" bestFit="1" customWidth="1"/>
    <col min="8" max="8" width="9.09765625" style="32" bestFit="1" customWidth="1"/>
    <col min="9" max="9" width="6.69921875" style="32" bestFit="1" customWidth="1"/>
    <col min="10" max="10" width="13.8984375" style="32" bestFit="1" customWidth="1"/>
    <col min="11" max="11" width="7.69921875" style="32" bestFit="1" customWidth="1"/>
    <col min="12" max="12" width="5.3984375" style="32" bestFit="1" customWidth="1"/>
    <col min="13" max="13" width="7.8984375" style="32" bestFit="1" customWidth="1"/>
    <col min="14" max="14" width="9.59765625" style="32" bestFit="1" customWidth="1"/>
    <col min="15" max="15" width="17.09765625" style="32" bestFit="1" customWidth="1"/>
    <col min="16" max="16" width="8.3984375" style="32" bestFit="1" customWidth="1"/>
    <col min="17" max="17" width="5.3984375" style="32" bestFit="1" customWidth="1"/>
    <col min="18" max="18" width="7.8984375" style="32" bestFit="1" customWidth="1"/>
    <col min="19" max="20" width="12.8984375" style="32" bestFit="1" customWidth="1"/>
    <col min="21" max="21" width="7.8984375" style="32" bestFit="1" customWidth="1"/>
    <col min="22" max="22" width="7" style="32" bestFit="1" customWidth="1"/>
    <col min="23" max="23" width="17.8984375" style="32" bestFit="1" customWidth="1"/>
    <col min="24" max="24" width="12" style="32" bestFit="1" customWidth="1"/>
    <col min="25" max="25" width="5.3984375" style="32" bestFit="1" customWidth="1"/>
    <col min="26" max="26" width="7.8984375" style="32" bestFit="1" customWidth="1"/>
    <col min="27" max="27" width="11.59765625" style="32" bestFit="1" customWidth="1"/>
    <col min="28" max="28" width="11.296875" style="32" bestFit="1" customWidth="1"/>
    <col min="29" max="29" width="34" style="32" bestFit="1" customWidth="1"/>
    <col min="30" max="30" width="8" style="32" bestFit="1" customWidth="1"/>
    <col min="31" max="31" width="4.296875" style="32" bestFit="1" customWidth="1"/>
    <col min="32" max="32" width="13.296875" style="32" customWidth="1"/>
    <col min="33" max="33" width="14.3984375" style="32" customWidth="1"/>
    <col min="34" max="34" width="32.296875" style="32" customWidth="1"/>
    <col min="35" max="16384" width="91.296875" style="32"/>
  </cols>
  <sheetData>
    <row r="1" spans="1:34" s="3" customFormat="1">
      <c r="A1" s="2" t="s">
        <v>37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34" s="3" customFormat="1">
      <c r="A2" s="2" t="s">
        <v>38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34" s="3" customFormat="1">
      <c r="A3" s="2" t="s">
        <v>39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4" s="3" customFormat="1">
      <c r="A4" s="2" t="s">
        <v>40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4" s="3" customFormat="1" ht="10.199999999999999" customHeight="1">
      <c r="A5" s="39" t="s">
        <v>4</v>
      </c>
      <c r="B5" s="40"/>
      <c r="C5" s="40"/>
      <c r="D5" s="41"/>
      <c r="E5" s="42" t="s">
        <v>5</v>
      </c>
      <c r="F5" s="43"/>
      <c r="G5" s="43"/>
      <c r="H5" s="43"/>
      <c r="I5" s="43"/>
      <c r="J5" s="43"/>
      <c r="K5" s="43"/>
      <c r="L5" s="43"/>
      <c r="M5" s="44"/>
      <c r="N5" s="42" t="s">
        <v>76</v>
      </c>
      <c r="O5" s="43"/>
      <c r="P5" s="43"/>
      <c r="Q5" s="43"/>
      <c r="R5" s="43"/>
      <c r="S5" s="43"/>
      <c r="T5" s="43"/>
      <c r="U5" s="44"/>
      <c r="V5" s="45" t="s">
        <v>77</v>
      </c>
      <c r="W5" s="46"/>
      <c r="X5" s="46"/>
      <c r="Y5" s="46"/>
      <c r="Z5" s="46"/>
      <c r="AA5" s="46"/>
      <c r="AB5" s="47"/>
      <c r="AC5" s="38" t="s">
        <v>8</v>
      </c>
      <c r="AD5" s="38"/>
      <c r="AE5" s="38"/>
      <c r="AF5" s="38"/>
      <c r="AG5" s="38"/>
      <c r="AH5" s="5"/>
    </row>
    <row r="6" spans="1:34" s="7" customFormat="1" ht="30.9" customHeight="1">
      <c r="A6" s="52" t="s">
        <v>80</v>
      </c>
      <c r="B6" s="49" t="s">
        <v>11</v>
      </c>
      <c r="C6" s="49" t="s">
        <v>81</v>
      </c>
      <c r="D6" s="49" t="s">
        <v>13</v>
      </c>
      <c r="E6" s="49" t="s">
        <v>14</v>
      </c>
      <c r="F6" s="49" t="s">
        <v>15</v>
      </c>
      <c r="G6" s="49" t="s">
        <v>82</v>
      </c>
      <c r="H6" s="49" t="s">
        <v>83</v>
      </c>
      <c r="I6" s="49" t="s">
        <v>18</v>
      </c>
      <c r="J6" s="49" t="s">
        <v>19</v>
      </c>
      <c r="K6" s="49" t="s">
        <v>84</v>
      </c>
      <c r="L6" s="49" t="s">
        <v>85</v>
      </c>
      <c r="M6" s="49" t="s">
        <v>86</v>
      </c>
      <c r="N6" s="49" t="s">
        <v>87</v>
      </c>
      <c r="O6" s="49" t="s">
        <v>88</v>
      </c>
      <c r="P6" s="49" t="s">
        <v>89</v>
      </c>
      <c r="Q6" s="49" t="s">
        <v>90</v>
      </c>
      <c r="R6" s="49" t="s">
        <v>91</v>
      </c>
      <c r="S6" s="49" t="s">
        <v>92</v>
      </c>
      <c r="T6" s="49" t="s">
        <v>93</v>
      </c>
      <c r="U6" s="49" t="s">
        <v>2</v>
      </c>
      <c r="V6" s="49" t="s">
        <v>36</v>
      </c>
      <c r="W6" s="49" t="s">
        <v>94</v>
      </c>
      <c r="X6" s="49" t="s">
        <v>95</v>
      </c>
      <c r="Y6" s="49" t="s">
        <v>96</v>
      </c>
      <c r="Z6" s="49" t="s">
        <v>97</v>
      </c>
      <c r="AA6" s="53" t="s">
        <v>26</v>
      </c>
      <c r="AB6" s="53" t="s">
        <v>98</v>
      </c>
      <c r="AC6" s="48" t="s">
        <v>28</v>
      </c>
      <c r="AD6" s="49" t="s">
        <v>29</v>
      </c>
      <c r="AE6" s="49" t="s">
        <v>30</v>
      </c>
      <c r="AF6" s="50" t="s">
        <v>78</v>
      </c>
      <c r="AG6" s="51" t="s">
        <v>79</v>
      </c>
      <c r="AH6" s="6" t="s">
        <v>32</v>
      </c>
    </row>
    <row r="7" spans="1:34" s="3" customFormat="1">
      <c r="A7" s="8" t="s">
        <v>99</v>
      </c>
      <c r="B7" s="5" t="s">
        <v>74</v>
      </c>
      <c r="C7" s="9">
        <v>137324</v>
      </c>
      <c r="D7" s="10" t="s">
        <v>75</v>
      </c>
      <c r="E7" s="11">
        <v>581900371</v>
      </c>
      <c r="F7" s="11">
        <v>581900371</v>
      </c>
      <c r="G7" s="11" t="s">
        <v>45</v>
      </c>
      <c r="H7" s="34">
        <v>45991</v>
      </c>
      <c r="I7" s="11" t="s">
        <v>40</v>
      </c>
      <c r="J7" s="11" t="s">
        <v>47</v>
      </c>
      <c r="K7" s="11" t="s">
        <v>48</v>
      </c>
      <c r="L7" s="11" t="s">
        <v>49</v>
      </c>
      <c r="M7" s="11">
        <v>29615</v>
      </c>
      <c r="N7" s="9" t="s">
        <v>37</v>
      </c>
      <c r="O7" s="9" t="s">
        <v>51</v>
      </c>
      <c r="P7" s="9" t="s">
        <v>52</v>
      </c>
      <c r="Q7" s="11" t="s">
        <v>53</v>
      </c>
      <c r="R7" s="9">
        <v>10463</v>
      </c>
      <c r="S7" s="1" t="s">
        <v>70</v>
      </c>
      <c r="T7" s="1" t="s">
        <v>71</v>
      </c>
      <c r="U7" s="11" t="s">
        <v>55</v>
      </c>
      <c r="V7" s="11" t="s">
        <v>56</v>
      </c>
      <c r="W7" s="11" t="s">
        <v>57</v>
      </c>
      <c r="X7" s="11" t="s">
        <v>58</v>
      </c>
      <c r="Y7" s="11" t="s">
        <v>53</v>
      </c>
      <c r="Z7" s="11">
        <v>11101</v>
      </c>
      <c r="AA7" s="9" t="s">
        <v>72</v>
      </c>
      <c r="AB7" s="9" t="s">
        <v>73</v>
      </c>
      <c r="AC7" s="12" t="s">
        <v>60</v>
      </c>
      <c r="AD7" s="11">
        <v>1</v>
      </c>
      <c r="AE7" s="5"/>
      <c r="AF7" s="13">
        <v>12829.53</v>
      </c>
      <c r="AG7" s="13">
        <v>12829.53</v>
      </c>
      <c r="AH7" s="14"/>
    </row>
    <row r="8" spans="1:34" s="3" customFormat="1">
      <c r="A8" s="8" t="s">
        <v>39</v>
      </c>
      <c r="B8" s="5" t="s">
        <v>74</v>
      </c>
      <c r="C8" s="9">
        <v>137324</v>
      </c>
      <c r="D8" s="10" t="s">
        <v>75</v>
      </c>
      <c r="E8" s="11">
        <v>581900371</v>
      </c>
      <c r="F8" s="11">
        <v>581900371</v>
      </c>
      <c r="G8" s="11" t="s">
        <v>62</v>
      </c>
      <c r="H8" s="34">
        <v>45991</v>
      </c>
      <c r="I8" s="11" t="s">
        <v>40</v>
      </c>
      <c r="J8" s="11" t="s">
        <v>47</v>
      </c>
      <c r="K8" s="11" t="s">
        <v>48</v>
      </c>
      <c r="L8" s="11" t="s">
        <v>49</v>
      </c>
      <c r="M8" s="11">
        <v>29615</v>
      </c>
      <c r="N8" s="9" t="s">
        <v>37</v>
      </c>
      <c r="O8" s="9" t="s">
        <v>51</v>
      </c>
      <c r="P8" s="9" t="s">
        <v>52</v>
      </c>
      <c r="Q8" s="11" t="s">
        <v>53</v>
      </c>
      <c r="R8" s="9">
        <v>10463</v>
      </c>
      <c r="S8" s="1" t="s">
        <v>70</v>
      </c>
      <c r="T8" s="1" t="s">
        <v>71</v>
      </c>
      <c r="U8" s="11" t="s">
        <v>55</v>
      </c>
      <c r="V8" s="11" t="s">
        <v>56</v>
      </c>
      <c r="W8" s="11" t="s">
        <v>57</v>
      </c>
      <c r="X8" s="11" t="s">
        <v>58</v>
      </c>
      <c r="Y8" s="11" t="s">
        <v>53</v>
      </c>
      <c r="Z8" s="11">
        <v>11101</v>
      </c>
      <c r="AA8" s="9" t="s">
        <v>72</v>
      </c>
      <c r="AB8" s="9" t="s">
        <v>73</v>
      </c>
      <c r="AC8" s="12" t="s">
        <v>63</v>
      </c>
      <c r="AD8" s="11">
        <v>1</v>
      </c>
      <c r="AE8" s="5"/>
      <c r="AF8" s="13">
        <v>52962.92</v>
      </c>
      <c r="AG8" s="13">
        <v>52962.92</v>
      </c>
      <c r="AH8" s="15"/>
    </row>
    <row r="9" spans="1:34" s="3" customFormat="1">
      <c r="A9" s="8" t="s">
        <v>65</v>
      </c>
      <c r="B9" s="5" t="s">
        <v>74</v>
      </c>
      <c r="C9" s="9">
        <v>137324</v>
      </c>
      <c r="D9" s="10" t="s">
        <v>75</v>
      </c>
      <c r="E9" s="11">
        <v>581900371</v>
      </c>
      <c r="F9" s="11">
        <v>581900371</v>
      </c>
      <c r="G9" s="11" t="s">
        <v>45</v>
      </c>
      <c r="H9" s="34">
        <v>45991</v>
      </c>
      <c r="I9" s="11" t="s">
        <v>40</v>
      </c>
      <c r="J9" s="11" t="s">
        <v>47</v>
      </c>
      <c r="K9" s="11" t="s">
        <v>48</v>
      </c>
      <c r="L9" s="11" t="s">
        <v>49</v>
      </c>
      <c r="M9" s="11">
        <v>29615</v>
      </c>
      <c r="N9" s="9" t="s">
        <v>37</v>
      </c>
      <c r="O9" s="9" t="s">
        <v>51</v>
      </c>
      <c r="P9" s="9" t="s">
        <v>52</v>
      </c>
      <c r="Q9" s="11" t="s">
        <v>53</v>
      </c>
      <c r="R9" s="9">
        <v>10463</v>
      </c>
      <c r="S9" s="1" t="s">
        <v>70</v>
      </c>
      <c r="T9" s="1" t="s">
        <v>71</v>
      </c>
      <c r="U9" s="11" t="s">
        <v>55</v>
      </c>
      <c r="V9" s="11" t="s">
        <v>56</v>
      </c>
      <c r="W9" s="11" t="s">
        <v>57</v>
      </c>
      <c r="X9" s="11" t="s">
        <v>58</v>
      </c>
      <c r="Y9" s="11" t="s">
        <v>53</v>
      </c>
      <c r="Z9" s="11">
        <v>11101</v>
      </c>
      <c r="AA9" s="9" t="s">
        <v>72</v>
      </c>
      <c r="AB9" s="9" t="s">
        <v>73</v>
      </c>
      <c r="AC9" s="12" t="s">
        <v>60</v>
      </c>
      <c r="AD9" s="11">
        <v>1</v>
      </c>
      <c r="AE9" s="5"/>
      <c r="AF9" s="13">
        <v>11990.72</v>
      </c>
      <c r="AG9" s="13">
        <v>11990.72</v>
      </c>
      <c r="AH9" s="15"/>
    </row>
    <row r="10" spans="1:34" s="3" customFormat="1">
      <c r="A10" s="8" t="s">
        <v>65</v>
      </c>
      <c r="B10" s="5" t="s">
        <v>74</v>
      </c>
      <c r="C10" s="9">
        <v>137324</v>
      </c>
      <c r="D10" s="10" t="s">
        <v>75</v>
      </c>
      <c r="E10" s="11">
        <v>581900371</v>
      </c>
      <c r="F10" s="11">
        <v>581900371</v>
      </c>
      <c r="G10" s="11" t="s">
        <v>62</v>
      </c>
      <c r="H10" s="34">
        <v>45991</v>
      </c>
      <c r="I10" s="11" t="s">
        <v>40</v>
      </c>
      <c r="J10" s="11" t="s">
        <v>47</v>
      </c>
      <c r="K10" s="11" t="s">
        <v>48</v>
      </c>
      <c r="L10" s="11" t="s">
        <v>49</v>
      </c>
      <c r="M10" s="11">
        <v>29615</v>
      </c>
      <c r="N10" s="9" t="s">
        <v>37</v>
      </c>
      <c r="O10" s="9" t="s">
        <v>51</v>
      </c>
      <c r="P10" s="9" t="s">
        <v>52</v>
      </c>
      <c r="Q10" s="11" t="s">
        <v>53</v>
      </c>
      <c r="R10" s="9">
        <v>10463</v>
      </c>
      <c r="S10" s="1" t="s">
        <v>70</v>
      </c>
      <c r="T10" s="1" t="s">
        <v>71</v>
      </c>
      <c r="U10" s="11" t="s">
        <v>55</v>
      </c>
      <c r="V10" s="11" t="s">
        <v>56</v>
      </c>
      <c r="W10" s="11" t="s">
        <v>57</v>
      </c>
      <c r="X10" s="11" t="s">
        <v>58</v>
      </c>
      <c r="Y10" s="11" t="s">
        <v>53</v>
      </c>
      <c r="Z10" s="11">
        <v>11101</v>
      </c>
      <c r="AA10" s="9" t="s">
        <v>72</v>
      </c>
      <c r="AB10" s="9" t="s">
        <v>73</v>
      </c>
      <c r="AC10" s="12" t="s">
        <v>63</v>
      </c>
      <c r="AD10" s="11">
        <v>1</v>
      </c>
      <c r="AE10" s="5"/>
      <c r="AF10" s="13">
        <v>49500.14</v>
      </c>
      <c r="AG10" s="13">
        <v>49500.14</v>
      </c>
      <c r="AH10" s="15"/>
    </row>
    <row r="11" spans="1:34" s="3" customFormat="1">
      <c r="A11" s="8" t="s">
        <v>67</v>
      </c>
      <c r="B11" s="5" t="s">
        <v>74</v>
      </c>
      <c r="C11" s="9">
        <v>137324</v>
      </c>
      <c r="D11" s="10" t="s">
        <v>75</v>
      </c>
      <c r="E11" s="11">
        <v>581900371</v>
      </c>
      <c r="F11" s="11">
        <v>581900371</v>
      </c>
      <c r="G11" s="11" t="s">
        <v>45</v>
      </c>
      <c r="H11" s="34">
        <v>45991</v>
      </c>
      <c r="I11" s="11" t="s">
        <v>40</v>
      </c>
      <c r="J11" s="11" t="s">
        <v>47</v>
      </c>
      <c r="K11" s="11" t="s">
        <v>48</v>
      </c>
      <c r="L11" s="11" t="s">
        <v>49</v>
      </c>
      <c r="M11" s="11">
        <v>29615</v>
      </c>
      <c r="N11" s="9" t="s">
        <v>37</v>
      </c>
      <c r="O11" s="9" t="s">
        <v>51</v>
      </c>
      <c r="P11" s="9" t="s">
        <v>52</v>
      </c>
      <c r="Q11" s="11" t="s">
        <v>53</v>
      </c>
      <c r="R11" s="9">
        <v>10463</v>
      </c>
      <c r="S11" s="1" t="s">
        <v>70</v>
      </c>
      <c r="T11" s="1" t="s">
        <v>71</v>
      </c>
      <c r="U11" s="11" t="s">
        <v>55</v>
      </c>
      <c r="V11" s="11" t="s">
        <v>56</v>
      </c>
      <c r="W11" s="11" t="s">
        <v>57</v>
      </c>
      <c r="X11" s="11" t="s">
        <v>58</v>
      </c>
      <c r="Y11" s="11" t="s">
        <v>53</v>
      </c>
      <c r="Z11" s="11">
        <v>11101</v>
      </c>
      <c r="AA11" s="9" t="s">
        <v>72</v>
      </c>
      <c r="AB11" s="9" t="s">
        <v>73</v>
      </c>
      <c r="AC11" s="12" t="s">
        <v>60</v>
      </c>
      <c r="AD11" s="11">
        <v>1</v>
      </c>
      <c r="AE11" s="5"/>
      <c r="AF11" s="13">
        <v>4049.65</v>
      </c>
      <c r="AG11" s="13">
        <v>4049.65</v>
      </c>
      <c r="AH11" s="15"/>
    </row>
    <row r="12" spans="1:34" s="3" customFormat="1">
      <c r="A12" s="8" t="s">
        <v>67</v>
      </c>
      <c r="B12" s="5" t="s">
        <v>74</v>
      </c>
      <c r="C12" s="9">
        <v>137324</v>
      </c>
      <c r="D12" s="10" t="s">
        <v>75</v>
      </c>
      <c r="E12" s="11">
        <v>581900371</v>
      </c>
      <c r="F12" s="11">
        <v>581900371</v>
      </c>
      <c r="G12" s="11" t="s">
        <v>62</v>
      </c>
      <c r="H12" s="34">
        <v>45991</v>
      </c>
      <c r="I12" s="11" t="s">
        <v>40</v>
      </c>
      <c r="J12" s="11" t="s">
        <v>47</v>
      </c>
      <c r="K12" s="11" t="s">
        <v>48</v>
      </c>
      <c r="L12" s="11" t="s">
        <v>49</v>
      </c>
      <c r="M12" s="11">
        <v>29615</v>
      </c>
      <c r="N12" s="9" t="s">
        <v>37</v>
      </c>
      <c r="O12" s="9" t="s">
        <v>51</v>
      </c>
      <c r="P12" s="9" t="s">
        <v>52</v>
      </c>
      <c r="Q12" s="11" t="s">
        <v>53</v>
      </c>
      <c r="R12" s="9">
        <v>10463</v>
      </c>
      <c r="S12" s="1" t="s">
        <v>70</v>
      </c>
      <c r="T12" s="1" t="s">
        <v>71</v>
      </c>
      <c r="U12" s="11" t="s">
        <v>55</v>
      </c>
      <c r="V12" s="11" t="s">
        <v>56</v>
      </c>
      <c r="W12" s="11" t="s">
        <v>57</v>
      </c>
      <c r="X12" s="11" t="s">
        <v>58</v>
      </c>
      <c r="Y12" s="11" t="s">
        <v>53</v>
      </c>
      <c r="Z12" s="11">
        <v>11101</v>
      </c>
      <c r="AA12" s="9" t="s">
        <v>72</v>
      </c>
      <c r="AB12" s="9" t="s">
        <v>73</v>
      </c>
      <c r="AC12" s="12" t="s">
        <v>63</v>
      </c>
      <c r="AD12" s="11">
        <v>1</v>
      </c>
      <c r="AE12" s="5"/>
      <c r="AF12" s="13">
        <v>16717.78</v>
      </c>
      <c r="AG12" s="13">
        <v>16717.78</v>
      </c>
      <c r="AH12" s="15"/>
    </row>
    <row r="13" spans="1:34" s="3" customFormat="1">
      <c r="A13" s="8" t="s">
        <v>69</v>
      </c>
      <c r="B13" s="5" t="s">
        <v>74</v>
      </c>
      <c r="C13" s="9">
        <v>137324</v>
      </c>
      <c r="D13" s="10" t="s">
        <v>75</v>
      </c>
      <c r="E13" s="11">
        <v>581900371</v>
      </c>
      <c r="F13" s="11">
        <v>581900371</v>
      </c>
      <c r="G13" s="11" t="s">
        <v>45</v>
      </c>
      <c r="H13" s="34">
        <v>45991</v>
      </c>
      <c r="I13" s="11" t="s">
        <v>40</v>
      </c>
      <c r="J13" s="11" t="s">
        <v>47</v>
      </c>
      <c r="K13" s="11" t="s">
        <v>48</v>
      </c>
      <c r="L13" s="11" t="s">
        <v>49</v>
      </c>
      <c r="M13" s="11">
        <v>29615</v>
      </c>
      <c r="N13" s="9" t="s">
        <v>37</v>
      </c>
      <c r="O13" s="9" t="s">
        <v>51</v>
      </c>
      <c r="P13" s="9" t="s">
        <v>52</v>
      </c>
      <c r="Q13" s="11" t="s">
        <v>53</v>
      </c>
      <c r="R13" s="9">
        <v>10463</v>
      </c>
      <c r="S13" s="1" t="s">
        <v>70</v>
      </c>
      <c r="T13" s="1" t="s">
        <v>71</v>
      </c>
      <c r="U13" s="11" t="s">
        <v>55</v>
      </c>
      <c r="V13" s="11" t="s">
        <v>56</v>
      </c>
      <c r="W13" s="11" t="s">
        <v>57</v>
      </c>
      <c r="X13" s="11" t="s">
        <v>58</v>
      </c>
      <c r="Y13" s="11" t="s">
        <v>53</v>
      </c>
      <c r="Z13" s="11">
        <v>11101</v>
      </c>
      <c r="AA13" s="9" t="s">
        <v>72</v>
      </c>
      <c r="AB13" s="9" t="s">
        <v>73</v>
      </c>
      <c r="AC13" s="12" t="s">
        <v>60</v>
      </c>
      <c r="AD13" s="11">
        <v>1</v>
      </c>
      <c r="AE13" s="5"/>
      <c r="AF13" s="13">
        <v>3437.6</v>
      </c>
      <c r="AG13" s="13">
        <v>3437.6</v>
      </c>
      <c r="AH13" s="15"/>
    </row>
    <row r="14" spans="1:34" s="3" customFormat="1">
      <c r="A14" s="8" t="s">
        <v>69</v>
      </c>
      <c r="B14" s="5" t="s">
        <v>74</v>
      </c>
      <c r="C14" s="9">
        <v>137324</v>
      </c>
      <c r="D14" s="10" t="s">
        <v>75</v>
      </c>
      <c r="E14" s="11">
        <v>581900371</v>
      </c>
      <c r="F14" s="11">
        <v>581900371</v>
      </c>
      <c r="G14" s="11" t="s">
        <v>62</v>
      </c>
      <c r="H14" s="34">
        <v>45991</v>
      </c>
      <c r="I14" s="11" t="s">
        <v>40</v>
      </c>
      <c r="J14" s="11" t="s">
        <v>47</v>
      </c>
      <c r="K14" s="11" t="s">
        <v>48</v>
      </c>
      <c r="L14" s="11" t="s">
        <v>49</v>
      </c>
      <c r="M14" s="11">
        <v>29615</v>
      </c>
      <c r="N14" s="9" t="s">
        <v>37</v>
      </c>
      <c r="O14" s="9" t="s">
        <v>51</v>
      </c>
      <c r="P14" s="9" t="s">
        <v>52</v>
      </c>
      <c r="Q14" s="11" t="s">
        <v>53</v>
      </c>
      <c r="R14" s="9">
        <v>10463</v>
      </c>
      <c r="S14" s="1" t="s">
        <v>70</v>
      </c>
      <c r="T14" s="1" t="s">
        <v>71</v>
      </c>
      <c r="U14" s="11" t="s">
        <v>55</v>
      </c>
      <c r="V14" s="11" t="s">
        <v>56</v>
      </c>
      <c r="W14" s="11" t="s">
        <v>57</v>
      </c>
      <c r="X14" s="11" t="s">
        <v>58</v>
      </c>
      <c r="Y14" s="11" t="s">
        <v>53</v>
      </c>
      <c r="Z14" s="11">
        <v>11101</v>
      </c>
      <c r="AA14" s="9" t="s">
        <v>72</v>
      </c>
      <c r="AB14" s="9" t="s">
        <v>73</v>
      </c>
      <c r="AC14" s="12" t="s">
        <v>63</v>
      </c>
      <c r="AD14" s="11">
        <v>1</v>
      </c>
      <c r="AE14" s="5"/>
      <c r="AF14" s="13">
        <v>14191.14</v>
      </c>
      <c r="AG14" s="13">
        <v>14191.14</v>
      </c>
      <c r="AH14" s="15"/>
    </row>
    <row r="15" spans="1:34" s="3" customFormat="1">
      <c r="A15" s="16"/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6"/>
      <c r="AD15" s="16"/>
      <c r="AE15" s="16"/>
      <c r="AF15" s="18"/>
      <c r="AG15" s="18"/>
      <c r="AH15" s="16"/>
    </row>
    <row r="16" spans="1:34" s="3" customFormat="1"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19" t="s">
        <v>33</v>
      </c>
      <c r="AD16" s="20"/>
      <c r="AE16" s="20"/>
      <c r="AF16" s="21">
        <f>SUM(AF7:AF14)</f>
        <v>165679.47999999998</v>
      </c>
      <c r="AG16" s="22"/>
    </row>
    <row r="17" spans="3:33" s="3" customFormat="1"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23" t="s">
        <v>34</v>
      </c>
      <c r="AD17" s="24"/>
      <c r="AE17" s="24"/>
      <c r="AF17" s="25"/>
      <c r="AG17" s="26">
        <f>SUM(AG7:AG16)</f>
        <v>165679.47999999998</v>
      </c>
    </row>
    <row r="18" spans="3:33" s="3" customFormat="1"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27"/>
      <c r="AG18" s="28"/>
    </row>
    <row r="19" spans="3:33" s="3" customFormat="1"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29" t="s">
        <v>35</v>
      </c>
      <c r="AD19" s="30"/>
      <c r="AE19" s="30"/>
      <c r="AF19" s="30"/>
      <c r="AG19" s="31">
        <f>SUM(AG17:AG18)</f>
        <v>165679.47999999998</v>
      </c>
    </row>
    <row r="20" spans="3:33" s="3" customFormat="1"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</sheetData>
  <mergeCells count="5">
    <mergeCell ref="A5:D5"/>
    <mergeCell ref="E5:M5"/>
    <mergeCell ref="N5:U5"/>
    <mergeCell ref="V5:AB5"/>
    <mergeCell ref="AC5:AG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  <pageSetUpPr autoPageBreaks="0"/>
  </sheetPr>
  <dimension ref="A1:AJ22"/>
  <sheetViews>
    <sheetView showGridLines="0" workbookViewId="0">
      <selection sqref="A1:XFD1048576"/>
    </sheetView>
  </sheetViews>
  <sheetFormatPr defaultColWidth="6.8984375" defaultRowHeight="12.75" customHeight="1"/>
  <cols>
    <col min="1" max="1" width="17.3984375" style="33" customWidth="1"/>
    <col min="2" max="16384" width="6.8984375" style="33"/>
  </cols>
  <sheetData>
    <row r="1" spans="1:36" ht="43.5" customHeight="1">
      <c r="A1" s="37" t="s">
        <v>0</v>
      </c>
      <c r="B1" s="33" t="s">
        <v>37</v>
      </c>
    </row>
    <row r="2" spans="1:36" ht="12.75" customHeight="1">
      <c r="A2" s="33" t="s">
        <v>1</v>
      </c>
      <c r="B2" s="33" t="s">
        <v>38</v>
      </c>
    </row>
    <row r="3" spans="1:36" ht="12.75" customHeight="1">
      <c r="A3" s="33" t="s">
        <v>2</v>
      </c>
      <c r="B3" s="33" t="s">
        <v>39</v>
      </c>
    </row>
    <row r="4" spans="1:36" ht="12.75" customHeight="1">
      <c r="A4" s="33" t="s">
        <v>3</v>
      </c>
      <c r="B4" s="33" t="s">
        <v>40</v>
      </c>
    </row>
    <row r="5" spans="1:36" ht="12.75" customHeight="1">
      <c r="A5" s="33" t="s">
        <v>4</v>
      </c>
      <c r="F5" s="33" t="s">
        <v>5</v>
      </c>
      <c r="O5" s="33" t="s">
        <v>6</v>
      </c>
      <c r="X5" s="33" t="s">
        <v>7</v>
      </c>
      <c r="AE5" s="33" t="s">
        <v>8</v>
      </c>
    </row>
    <row r="6" spans="1:36" ht="12.75" customHeight="1">
      <c r="A6" s="33" t="s">
        <v>9</v>
      </c>
      <c r="B6" s="33" t="s">
        <v>10</v>
      </c>
      <c r="C6" s="33" t="s">
        <v>11</v>
      </c>
      <c r="D6" s="33" t="s">
        <v>12</v>
      </c>
      <c r="E6" s="33" t="s">
        <v>13</v>
      </c>
      <c r="F6" s="33" t="s">
        <v>14</v>
      </c>
      <c r="G6" s="33" t="s">
        <v>15</v>
      </c>
      <c r="H6" s="33" t="s">
        <v>16</v>
      </c>
      <c r="I6" s="33" t="s">
        <v>17</v>
      </c>
      <c r="J6" s="33" t="s">
        <v>18</v>
      </c>
      <c r="K6" s="33" t="s">
        <v>19</v>
      </c>
      <c r="L6" s="33" t="s">
        <v>20</v>
      </c>
      <c r="M6" s="33" t="s">
        <v>21</v>
      </c>
      <c r="N6" s="33" t="s">
        <v>22</v>
      </c>
      <c r="O6" s="33" t="s">
        <v>1</v>
      </c>
      <c r="P6" s="33" t="s">
        <v>0</v>
      </c>
      <c r="Q6" s="33" t="s">
        <v>23</v>
      </c>
      <c r="R6" s="33" t="s">
        <v>20</v>
      </c>
      <c r="S6" s="33" t="s">
        <v>21</v>
      </c>
      <c r="T6" s="33" t="s">
        <v>22</v>
      </c>
      <c r="U6" s="33" t="s">
        <v>24</v>
      </c>
      <c r="V6" s="33" t="s">
        <v>25</v>
      </c>
      <c r="W6" s="33" t="s">
        <v>2</v>
      </c>
      <c r="X6" s="33" t="s">
        <v>36</v>
      </c>
      <c r="Y6" s="33" t="s">
        <v>23</v>
      </c>
      <c r="Z6" s="33" t="s">
        <v>20</v>
      </c>
      <c r="AA6" s="33" t="s">
        <v>21</v>
      </c>
      <c r="AB6" s="33" t="s">
        <v>22</v>
      </c>
      <c r="AC6" s="33" t="s">
        <v>26</v>
      </c>
      <c r="AD6" s="33" t="s">
        <v>27</v>
      </c>
      <c r="AE6" s="33" t="s">
        <v>28</v>
      </c>
      <c r="AF6" s="33" t="s">
        <v>29</v>
      </c>
      <c r="AG6" s="33" t="s">
        <v>30</v>
      </c>
      <c r="AH6" s="33" t="s">
        <v>31</v>
      </c>
      <c r="AI6" s="33" t="s">
        <v>41</v>
      </c>
      <c r="AJ6" s="33" t="s">
        <v>32</v>
      </c>
    </row>
    <row r="7" spans="1:36" ht="12.75" customHeight="1">
      <c r="A7" s="33" t="s">
        <v>42</v>
      </c>
      <c r="B7" s="33" t="s">
        <v>39</v>
      </c>
      <c r="D7" s="33" t="s">
        <v>43</v>
      </c>
      <c r="F7" s="33" t="s">
        <v>44</v>
      </c>
      <c r="G7" s="33" t="s">
        <v>44</v>
      </c>
      <c r="H7" s="33" t="s">
        <v>45</v>
      </c>
      <c r="I7" s="35" t="s">
        <v>46</v>
      </c>
      <c r="J7" s="33" t="s">
        <v>40</v>
      </c>
      <c r="K7" s="33" t="s">
        <v>47</v>
      </c>
      <c r="L7" s="33" t="s">
        <v>48</v>
      </c>
      <c r="M7" s="33" t="s">
        <v>49</v>
      </c>
      <c r="N7" s="33" t="s">
        <v>50</v>
      </c>
      <c r="O7" s="33" t="s">
        <v>38</v>
      </c>
      <c r="P7" s="33" t="s">
        <v>37</v>
      </c>
      <c r="Q7" s="33" t="s">
        <v>51</v>
      </c>
      <c r="R7" s="33" t="s">
        <v>52</v>
      </c>
      <c r="S7" s="33" t="s">
        <v>53</v>
      </c>
      <c r="T7" s="33" t="s">
        <v>54</v>
      </c>
      <c r="W7" s="33" t="s">
        <v>55</v>
      </c>
      <c r="X7" s="33" t="s">
        <v>56</v>
      </c>
      <c r="Y7" s="33" t="s">
        <v>57</v>
      </c>
      <c r="Z7" s="33" t="s">
        <v>58</v>
      </c>
      <c r="AA7" s="33" t="s">
        <v>53</v>
      </c>
      <c r="AB7" s="33" t="s">
        <v>59</v>
      </c>
      <c r="AE7" s="33" t="s">
        <v>60</v>
      </c>
      <c r="AF7" s="33" t="s">
        <v>61</v>
      </c>
      <c r="AH7" s="36">
        <v>12829.53</v>
      </c>
      <c r="AI7" s="36">
        <v>12829.53</v>
      </c>
    </row>
    <row r="8" spans="1:36" ht="12.75" customHeight="1">
      <c r="A8" s="33" t="s">
        <v>42</v>
      </c>
      <c r="B8" s="33" t="s">
        <v>39</v>
      </c>
      <c r="D8" s="33" t="s">
        <v>43</v>
      </c>
      <c r="F8" s="33" t="s">
        <v>44</v>
      </c>
      <c r="G8" s="33" t="s">
        <v>44</v>
      </c>
      <c r="H8" s="33" t="s">
        <v>62</v>
      </c>
      <c r="I8" s="35" t="s">
        <v>46</v>
      </c>
      <c r="J8" s="33" t="s">
        <v>40</v>
      </c>
      <c r="K8" s="33" t="s">
        <v>47</v>
      </c>
      <c r="L8" s="33" t="s">
        <v>48</v>
      </c>
      <c r="M8" s="33" t="s">
        <v>49</v>
      </c>
      <c r="N8" s="33" t="s">
        <v>50</v>
      </c>
      <c r="O8" s="33" t="s">
        <v>38</v>
      </c>
      <c r="P8" s="33" t="s">
        <v>37</v>
      </c>
      <c r="Q8" s="33" t="s">
        <v>51</v>
      </c>
      <c r="R8" s="33" t="s">
        <v>52</v>
      </c>
      <c r="S8" s="33" t="s">
        <v>53</v>
      </c>
      <c r="T8" s="33" t="s">
        <v>54</v>
      </c>
      <c r="W8" s="33" t="s">
        <v>55</v>
      </c>
      <c r="X8" s="33" t="s">
        <v>56</v>
      </c>
      <c r="Y8" s="33" t="s">
        <v>57</v>
      </c>
      <c r="Z8" s="33" t="s">
        <v>58</v>
      </c>
      <c r="AA8" s="33" t="s">
        <v>53</v>
      </c>
      <c r="AB8" s="33" t="s">
        <v>59</v>
      </c>
      <c r="AE8" s="33" t="s">
        <v>63</v>
      </c>
      <c r="AF8" s="33" t="s">
        <v>61</v>
      </c>
      <c r="AH8" s="36">
        <v>52962.92</v>
      </c>
      <c r="AI8" s="36">
        <v>52962.92</v>
      </c>
    </row>
    <row r="9" spans="1:36" ht="12.75" customHeight="1">
      <c r="A9" s="33" t="s">
        <v>64</v>
      </c>
      <c r="B9" s="33" t="s">
        <v>65</v>
      </c>
      <c r="D9" s="33" t="s">
        <v>43</v>
      </c>
      <c r="F9" s="33" t="s">
        <v>44</v>
      </c>
      <c r="G9" s="33" t="s">
        <v>44</v>
      </c>
      <c r="H9" s="33" t="s">
        <v>45</v>
      </c>
      <c r="I9" s="35" t="s">
        <v>46</v>
      </c>
      <c r="J9" s="33" t="s">
        <v>40</v>
      </c>
      <c r="K9" s="33" t="s">
        <v>47</v>
      </c>
      <c r="L9" s="33" t="s">
        <v>48</v>
      </c>
      <c r="M9" s="33" t="s">
        <v>49</v>
      </c>
      <c r="N9" s="33" t="s">
        <v>50</v>
      </c>
      <c r="O9" s="33" t="s">
        <v>38</v>
      </c>
      <c r="P9" s="33" t="s">
        <v>37</v>
      </c>
      <c r="Q9" s="33" t="s">
        <v>51</v>
      </c>
      <c r="R9" s="33" t="s">
        <v>52</v>
      </c>
      <c r="S9" s="33" t="s">
        <v>53</v>
      </c>
      <c r="T9" s="33" t="s">
        <v>54</v>
      </c>
      <c r="W9" s="33" t="s">
        <v>55</v>
      </c>
      <c r="X9" s="33" t="s">
        <v>56</v>
      </c>
      <c r="Y9" s="33" t="s">
        <v>57</v>
      </c>
      <c r="Z9" s="33" t="s">
        <v>58</v>
      </c>
      <c r="AA9" s="33" t="s">
        <v>53</v>
      </c>
      <c r="AB9" s="33" t="s">
        <v>59</v>
      </c>
      <c r="AE9" s="33" t="s">
        <v>60</v>
      </c>
      <c r="AF9" s="33" t="s">
        <v>61</v>
      </c>
      <c r="AH9" s="36">
        <v>11990.72</v>
      </c>
      <c r="AI9" s="36">
        <v>11990.72</v>
      </c>
    </row>
    <row r="10" spans="1:36" ht="12.75" customHeight="1">
      <c r="A10" s="33" t="s">
        <v>64</v>
      </c>
      <c r="B10" s="33" t="s">
        <v>65</v>
      </c>
      <c r="D10" s="33" t="s">
        <v>43</v>
      </c>
      <c r="F10" s="33" t="s">
        <v>44</v>
      </c>
      <c r="G10" s="33" t="s">
        <v>44</v>
      </c>
      <c r="H10" s="33" t="s">
        <v>62</v>
      </c>
      <c r="I10" s="35" t="s">
        <v>46</v>
      </c>
      <c r="J10" s="33" t="s">
        <v>40</v>
      </c>
      <c r="K10" s="33" t="s">
        <v>47</v>
      </c>
      <c r="L10" s="33" t="s">
        <v>48</v>
      </c>
      <c r="M10" s="33" t="s">
        <v>49</v>
      </c>
      <c r="N10" s="33" t="s">
        <v>50</v>
      </c>
      <c r="O10" s="33" t="s">
        <v>38</v>
      </c>
      <c r="P10" s="33" t="s">
        <v>37</v>
      </c>
      <c r="Q10" s="33" t="s">
        <v>51</v>
      </c>
      <c r="R10" s="33" t="s">
        <v>52</v>
      </c>
      <c r="S10" s="33" t="s">
        <v>53</v>
      </c>
      <c r="T10" s="33" t="s">
        <v>54</v>
      </c>
      <c r="W10" s="33" t="s">
        <v>55</v>
      </c>
      <c r="X10" s="33" t="s">
        <v>56</v>
      </c>
      <c r="Y10" s="33" t="s">
        <v>57</v>
      </c>
      <c r="Z10" s="33" t="s">
        <v>58</v>
      </c>
      <c r="AA10" s="33" t="s">
        <v>53</v>
      </c>
      <c r="AB10" s="33" t="s">
        <v>59</v>
      </c>
      <c r="AE10" s="33" t="s">
        <v>63</v>
      </c>
      <c r="AF10" s="33" t="s">
        <v>61</v>
      </c>
      <c r="AH10" s="36">
        <v>49500.14</v>
      </c>
      <c r="AI10" s="36">
        <v>49500.14</v>
      </c>
    </row>
    <row r="11" spans="1:36" ht="12.75" customHeight="1">
      <c r="A11" s="33" t="s">
        <v>66</v>
      </c>
      <c r="B11" s="33" t="s">
        <v>67</v>
      </c>
      <c r="D11" s="33" t="s">
        <v>43</v>
      </c>
      <c r="F11" s="33" t="s">
        <v>44</v>
      </c>
      <c r="G11" s="33" t="s">
        <v>44</v>
      </c>
      <c r="H11" s="33" t="s">
        <v>45</v>
      </c>
      <c r="I11" s="35" t="s">
        <v>46</v>
      </c>
      <c r="J11" s="33" t="s">
        <v>40</v>
      </c>
      <c r="K11" s="33" t="s">
        <v>47</v>
      </c>
      <c r="L11" s="33" t="s">
        <v>48</v>
      </c>
      <c r="M11" s="33" t="s">
        <v>49</v>
      </c>
      <c r="N11" s="33" t="s">
        <v>50</v>
      </c>
      <c r="O11" s="33" t="s">
        <v>38</v>
      </c>
      <c r="P11" s="33" t="s">
        <v>37</v>
      </c>
      <c r="Q11" s="33" t="s">
        <v>51</v>
      </c>
      <c r="R11" s="33" t="s">
        <v>52</v>
      </c>
      <c r="S11" s="33" t="s">
        <v>53</v>
      </c>
      <c r="T11" s="33" t="s">
        <v>54</v>
      </c>
      <c r="W11" s="33" t="s">
        <v>55</v>
      </c>
      <c r="X11" s="33" t="s">
        <v>56</v>
      </c>
      <c r="Y11" s="33" t="s">
        <v>57</v>
      </c>
      <c r="Z11" s="33" t="s">
        <v>58</v>
      </c>
      <c r="AA11" s="33" t="s">
        <v>53</v>
      </c>
      <c r="AB11" s="33" t="s">
        <v>59</v>
      </c>
      <c r="AE11" s="33" t="s">
        <v>60</v>
      </c>
      <c r="AF11" s="33" t="s">
        <v>61</v>
      </c>
      <c r="AH11" s="36">
        <v>4049.65</v>
      </c>
      <c r="AI11" s="36">
        <v>4049.65</v>
      </c>
    </row>
    <row r="12" spans="1:36" ht="12.75" customHeight="1">
      <c r="A12" s="33" t="s">
        <v>66</v>
      </c>
      <c r="B12" s="33" t="s">
        <v>67</v>
      </c>
      <c r="D12" s="33" t="s">
        <v>43</v>
      </c>
      <c r="F12" s="33" t="s">
        <v>44</v>
      </c>
      <c r="G12" s="33" t="s">
        <v>44</v>
      </c>
      <c r="H12" s="33" t="s">
        <v>62</v>
      </c>
      <c r="I12" s="35" t="s">
        <v>46</v>
      </c>
      <c r="J12" s="33" t="s">
        <v>40</v>
      </c>
      <c r="K12" s="33" t="s">
        <v>47</v>
      </c>
      <c r="L12" s="33" t="s">
        <v>48</v>
      </c>
      <c r="M12" s="33" t="s">
        <v>49</v>
      </c>
      <c r="N12" s="33" t="s">
        <v>50</v>
      </c>
      <c r="O12" s="33" t="s">
        <v>38</v>
      </c>
      <c r="P12" s="33" t="s">
        <v>37</v>
      </c>
      <c r="Q12" s="33" t="s">
        <v>51</v>
      </c>
      <c r="R12" s="33" t="s">
        <v>52</v>
      </c>
      <c r="S12" s="33" t="s">
        <v>53</v>
      </c>
      <c r="T12" s="33" t="s">
        <v>54</v>
      </c>
      <c r="W12" s="33" t="s">
        <v>55</v>
      </c>
      <c r="X12" s="33" t="s">
        <v>56</v>
      </c>
      <c r="Y12" s="33" t="s">
        <v>57</v>
      </c>
      <c r="Z12" s="33" t="s">
        <v>58</v>
      </c>
      <c r="AA12" s="33" t="s">
        <v>53</v>
      </c>
      <c r="AB12" s="33" t="s">
        <v>59</v>
      </c>
      <c r="AE12" s="33" t="s">
        <v>63</v>
      </c>
      <c r="AF12" s="33" t="s">
        <v>61</v>
      </c>
      <c r="AH12" s="36">
        <v>16717.78</v>
      </c>
      <c r="AI12" s="36">
        <v>16717.78</v>
      </c>
    </row>
    <row r="13" spans="1:36" ht="12.75" customHeight="1">
      <c r="A13" s="33" t="s">
        <v>68</v>
      </c>
      <c r="B13" s="33" t="s">
        <v>69</v>
      </c>
      <c r="D13" s="33" t="s">
        <v>43</v>
      </c>
      <c r="F13" s="33" t="s">
        <v>44</v>
      </c>
      <c r="G13" s="33" t="s">
        <v>44</v>
      </c>
      <c r="H13" s="33" t="s">
        <v>45</v>
      </c>
      <c r="I13" s="33" t="s">
        <v>46</v>
      </c>
      <c r="J13" s="33" t="s">
        <v>40</v>
      </c>
      <c r="K13" s="33" t="s">
        <v>47</v>
      </c>
      <c r="L13" s="33" t="s">
        <v>48</v>
      </c>
      <c r="M13" s="33" t="s">
        <v>49</v>
      </c>
      <c r="N13" s="33" t="s">
        <v>50</v>
      </c>
      <c r="O13" s="33" t="s">
        <v>38</v>
      </c>
      <c r="P13" s="33" t="s">
        <v>37</v>
      </c>
      <c r="Q13" s="33" t="s">
        <v>51</v>
      </c>
      <c r="R13" s="33" t="s">
        <v>52</v>
      </c>
      <c r="S13" s="33" t="s">
        <v>53</v>
      </c>
      <c r="T13" s="33" t="s">
        <v>54</v>
      </c>
      <c r="W13" s="33" t="s">
        <v>55</v>
      </c>
      <c r="X13" s="33" t="s">
        <v>56</v>
      </c>
      <c r="Y13" s="33" t="s">
        <v>57</v>
      </c>
      <c r="Z13" s="33" t="s">
        <v>58</v>
      </c>
      <c r="AA13" s="33" t="s">
        <v>53</v>
      </c>
      <c r="AB13" s="33" t="s">
        <v>59</v>
      </c>
      <c r="AE13" s="33" t="s">
        <v>60</v>
      </c>
      <c r="AF13" s="33" t="s">
        <v>61</v>
      </c>
      <c r="AH13" s="33">
        <v>3437.6</v>
      </c>
      <c r="AI13" s="33">
        <v>3437.6</v>
      </c>
    </row>
    <row r="14" spans="1:36" ht="12.75" customHeight="1">
      <c r="A14" s="33" t="s">
        <v>68</v>
      </c>
      <c r="B14" s="33" t="s">
        <v>69</v>
      </c>
      <c r="D14" s="33" t="s">
        <v>43</v>
      </c>
      <c r="F14" s="33" t="s">
        <v>44</v>
      </c>
      <c r="G14" s="33" t="s">
        <v>44</v>
      </c>
      <c r="H14" s="33" t="s">
        <v>62</v>
      </c>
      <c r="I14" s="33" t="s">
        <v>46</v>
      </c>
      <c r="J14" s="33" t="s">
        <v>40</v>
      </c>
      <c r="K14" s="33" t="s">
        <v>47</v>
      </c>
      <c r="L14" s="33" t="s">
        <v>48</v>
      </c>
      <c r="M14" s="33" t="s">
        <v>49</v>
      </c>
      <c r="N14" s="33" t="s">
        <v>50</v>
      </c>
      <c r="O14" s="33" t="s">
        <v>38</v>
      </c>
      <c r="P14" s="33" t="s">
        <v>37</v>
      </c>
      <c r="Q14" s="33" t="s">
        <v>51</v>
      </c>
      <c r="R14" s="33" t="s">
        <v>52</v>
      </c>
      <c r="S14" s="33" t="s">
        <v>53</v>
      </c>
      <c r="T14" s="33" t="s">
        <v>54</v>
      </c>
      <c r="W14" s="33" t="s">
        <v>55</v>
      </c>
      <c r="X14" s="33" t="s">
        <v>56</v>
      </c>
      <c r="Y14" s="33" t="s">
        <v>57</v>
      </c>
      <c r="Z14" s="33" t="s">
        <v>58</v>
      </c>
      <c r="AA14" s="33" t="s">
        <v>53</v>
      </c>
      <c r="AB14" s="33" t="s">
        <v>59</v>
      </c>
      <c r="AE14" s="33" t="s">
        <v>63</v>
      </c>
      <c r="AF14" s="33" t="s">
        <v>61</v>
      </c>
      <c r="AH14" s="33">
        <v>14191.14</v>
      </c>
      <c r="AI14" s="33">
        <v>14191.14</v>
      </c>
    </row>
    <row r="18" spans="31:35" ht="12.75" customHeight="1">
      <c r="AH18" s="36"/>
    </row>
    <row r="19" spans="31:35" ht="12.75" customHeight="1">
      <c r="AH19" s="36"/>
      <c r="AI19" s="36"/>
    </row>
    <row r="20" spans="31:35" ht="12.75" customHeight="1">
      <c r="AI20" s="36"/>
    </row>
    <row r="21" spans="31:35" ht="12.75" customHeight="1">
      <c r="AE21" s="33" t="s">
        <v>33</v>
      </c>
      <c r="AH21" s="33">
        <v>165679.48000000001</v>
      </c>
    </row>
    <row r="22" spans="31:35" ht="12.75" customHeight="1">
      <c r="AE22" s="33" t="s">
        <v>34</v>
      </c>
      <c r="AI22" s="33">
        <v>165679.48000000001</v>
      </c>
    </row>
  </sheetData>
  <pageMargins left="0.25" right="0.25" top="0.25" bottom="0.25" header="0" footer="0"/>
  <pageSetup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RawData</vt:lpstr>
    </vt:vector>
  </TitlesOfParts>
  <Company>NYCDoE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Gonzalez</dc:creator>
  <cp:lastModifiedBy>NYCDOE</cp:lastModifiedBy>
  <dcterms:created xsi:type="dcterms:W3CDTF">2025-03-20T16:09:39Z</dcterms:created>
  <dcterms:modified xsi:type="dcterms:W3CDTF">2025-05-15T20:31:41Z</dcterms:modified>
</cp:coreProperties>
</file>