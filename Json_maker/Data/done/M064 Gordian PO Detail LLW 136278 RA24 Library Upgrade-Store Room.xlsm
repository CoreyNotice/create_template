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899C9086-67A9-5B14-2C2D-5A8001700F7D}"/>
  <workbookPr codeName="ThisWorkbook"/>
  <mc:AlternateContent xmlns:mc="http://schemas.openxmlformats.org/markup-compatibility/2006">
    <mc:Choice Requires="x15">
      <x15ac:absPath xmlns:x15ac="http://schemas.microsoft.com/office/spreadsheetml/2010/11/ac" url="D:\New folder (2)\Excel\"/>
    </mc:Choice>
  </mc:AlternateContent>
  <bookViews>
    <workbookView xWindow="1248" yWindow="2016" windowWidth="49692" windowHeight="9876" firstSheet="1" activeTab="2"/>
  </bookViews>
  <sheets>
    <sheet name="Instructions" sheetId="9" state="hidden" r:id="rId1"/>
    <sheet name="Template" sheetId="8" r:id="rId2"/>
    <sheet name="RawData" sheetId="2" r:id="rId3"/>
  </sheets>
  <definedNames>
    <definedName name="_xleta.T" hidden="1" xlm="1">#NAME?</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1" i="2" l="1"/>
</calcChain>
</file>

<file path=xl/sharedStrings.xml><?xml version="1.0" encoding="utf-8"?>
<sst xmlns="http://schemas.openxmlformats.org/spreadsheetml/2006/main" count="709" uniqueCount="106">
  <si>
    <t>OPEN FILE IN THE EXCEL DESKTOP APPLICATION
MACROS WILL NOT WORK IN THE BROWSER
YOU DO NOT NEED TO SAVE THIS FILE
1) HOLD DOWN THE CTRL KEY ON YOUR KEYBOARD
2) CLICK THE LINK BELOW WHILE HOLDING THE CTRL KEY
3) RELEASE THE CTRL KEY AFTER YOU CLICK THE LINK
4) FIRST POPUP: CLICK ON "OPEN IN DESKTOP"
5) SECOND POPUP: CLICK ON "OPEN EXCEL"
6) WAIT FOR THE EXCEL DESKTOP APPLICATION TO LAUNCH AND USE THAT VERSION</t>
  </si>
  <si>
    <t>Hold "CTRL" and Click Here to Open Template in Desktop Application</t>
  </si>
  <si>
    <t>School Building ID</t>
  </si>
  <si>
    <t>Org ID</t>
  </si>
  <si>
    <t>Title</t>
  </si>
  <si>
    <t>Vendor</t>
  </si>
  <si>
    <t>Project</t>
  </si>
  <si>
    <t>Vendor Information</t>
  </si>
  <si>
    <t>Delivery to Information (School where work performed)</t>
  </si>
  <si>
    <t>Invoice To Information</t>
  </si>
  <si>
    <t>Items to be purchased</t>
  </si>
  <si>
    <t>Project Number</t>
  </si>
  <si>
    <t>Project Title</t>
  </si>
  <si>
    <t>FMS ID</t>
  </si>
  <si>
    <t>LLW #</t>
  </si>
  <si>
    <t>Award</t>
  </si>
  <si>
    <t>Vendor ID</t>
  </si>
  <si>
    <t>Vendor Number</t>
  </si>
  <si>
    <t>Contract No</t>
  </si>
  <si>
    <t>Contract Expiration Date</t>
  </si>
  <si>
    <t>Vendor Name</t>
  </si>
  <si>
    <t>Vendor Address</t>
  </si>
  <si>
    <t>City</t>
  </si>
  <si>
    <t>State</t>
  </si>
  <si>
    <t>Zip Code</t>
  </si>
  <si>
    <t>Address</t>
  </si>
  <si>
    <t>Attention To:(Custodian)</t>
  </si>
  <si>
    <t>Attention To:Phone No.(Custodian)</t>
  </si>
  <si>
    <t>Agency</t>
  </si>
  <si>
    <t>Attention To (Borough Director)</t>
  </si>
  <si>
    <t>Attention To No. (Borough Director)</t>
  </si>
  <si>
    <t>Description</t>
  </si>
  <si>
    <t>Quantity</t>
  </si>
  <si>
    <t>Unit</t>
  </si>
  <si>
    <t>$ Unit Price</t>
  </si>
  <si>
    <t>Comments</t>
  </si>
  <si>
    <t>Total Work order</t>
  </si>
  <si>
    <t>Total Work outstanding billed &amp; unbilled</t>
  </si>
  <si>
    <t>M064</t>
  </si>
  <si>
    <t>M839</t>
  </si>
  <si>
    <t>RA24 Library Upgrade/ Store Room</t>
  </si>
  <si>
    <t>Gordian</t>
  </si>
  <si>
    <t>Amount Owed</t>
  </si>
  <si>
    <t>24.M064.001.0</t>
  </si>
  <si>
    <t>136278</t>
  </si>
  <si>
    <t>581900371</t>
  </si>
  <si>
    <t>9275735 -NS000</t>
  </si>
  <si>
    <t>11/30/2025</t>
  </si>
  <si>
    <t>30 Patewood Dr</t>
  </si>
  <si>
    <t xml:space="preserve">Greenville    </t>
  </si>
  <si>
    <t>SC</t>
  </si>
  <si>
    <t>29615</t>
  </si>
  <si>
    <t>600 EAST 6 STREET</t>
  </si>
  <si>
    <t>Manhattan</t>
  </si>
  <si>
    <t>NY</t>
  </si>
  <si>
    <t>10009</t>
  </si>
  <si>
    <t>Victor Zuniga</t>
  </si>
  <si>
    <t>212-673-6510</t>
  </si>
  <si>
    <t>Custodian</t>
  </si>
  <si>
    <t>DSF</t>
  </si>
  <si>
    <t>44-36 Vernon Boulevard</t>
  </si>
  <si>
    <t>Long Island City</t>
  </si>
  <si>
    <t>11101</t>
  </si>
  <si>
    <t>Telly Natsis</t>
  </si>
  <si>
    <t>Licensing Fee</t>
  </si>
  <si>
    <t>1</t>
  </si>
  <si>
    <t>Purchase Order Request</t>
  </si>
  <si>
    <t>R106401</t>
  </si>
  <si>
    <t>Construction Management</t>
  </si>
  <si>
    <t>24.M064.001.1</t>
  </si>
  <si>
    <t>RA24 Library Upgrade/  Acoustical Ceiling</t>
  </si>
  <si>
    <t>24.M064.004.0</t>
  </si>
  <si>
    <t>RA24 Library Upgrade/ Store Room ACM TEST</t>
  </si>
  <si>
    <t>24.M064.004.1</t>
  </si>
  <si>
    <t>RA24 Library Upgrade/ Store Room ACM TEST Credit.</t>
  </si>
  <si>
    <t>24.M064.004.2</t>
  </si>
  <si>
    <t>RA24 Library Upgrade/ Store Room ACM TEST.</t>
  </si>
  <si>
    <t>A00629170</t>
  </si>
  <si>
    <t>24RRCCA</t>
  </si>
  <si>
    <t>ea</t>
  </si>
  <si>
    <t>Full PO Amount</t>
  </si>
  <si>
    <t xml:space="preserve">Project   
</t>
  </si>
  <si>
    <t xml:space="preserve">Vendor Information        
</t>
  </si>
  <si>
    <t xml:space="preserve">Delivery To Information (School where work performed)       
</t>
  </si>
  <si>
    <t>Invoice  To Information</t>
  </si>
  <si>
    <t xml:space="preserve"> $ Unit Price </t>
  </si>
  <si>
    <t xml:space="preserve"> Amount Owed </t>
  </si>
  <si>
    <t>Project Name</t>
  </si>
  <si>
    <t>LLW</t>
  </si>
  <si>
    <t xml:space="preserve">Contract No </t>
  </si>
  <si>
    <t xml:space="preserve">Contract Expiration Date </t>
  </si>
  <si>
    <t>City1</t>
  </si>
  <si>
    <t>State1</t>
  </si>
  <si>
    <t>Zip Code1</t>
  </si>
  <si>
    <t>School ID / Name</t>
  </si>
  <si>
    <t>Address1</t>
  </si>
  <si>
    <t xml:space="preserve">City2 </t>
  </si>
  <si>
    <t>State2</t>
  </si>
  <si>
    <t xml:space="preserve">Zip Code2 </t>
  </si>
  <si>
    <t>Attention To: (Custodain)</t>
  </si>
  <si>
    <t>Attention To Phone No. (Custodian)</t>
  </si>
  <si>
    <t>Address2</t>
  </si>
  <si>
    <t xml:space="preserve">City3 </t>
  </si>
  <si>
    <t>State3</t>
  </si>
  <si>
    <t xml:space="preserve">Zip Code3 </t>
  </si>
  <si>
    <t>Attention To Phone No. (Borough Director)</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</si>
</sst>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8" formatCode="&quot;$&quot;#,##0.00_);[Red]\(&quot;$&quot;#,##0.00\)"/>
    <numFmt numFmtId="43" formatCode="_(* #,##0.00_);_(* \(#,##0.00\);_(* &quot;-&quot;??_);_(@_)"/>
    <numFmt numFmtId="164" formatCode="&quot;$&quot;#,##0.00"/>
  </numFmts>
  <fonts count="12">
    <font>
      <sz val="11"/>
      <color theme="1"/>
      <name val="Aptos Narrow"/>
      <family val="2"/>
      <scheme val="minor"/>
    </font>
    <font>
      <sz val="10"/>
      <color indexed="8"/>
      <name val="Arial"/>
      <family val="2"/>
    </font>
    <font>
      <b/>
      <sz val="10"/>
      <color rgb="FFFF0000"/>
      <name val="Arial"/>
      <family val="2"/>
    </font>
    <font>
      <u/>
      <sz val="11"/>
      <color theme="10"/>
      <name val="Aptos Narrow"/>
      <family val="2"/>
      <scheme val="minor"/>
    </font>
    <font>
      <u/>
      <sz val="16"/>
      <color theme="10"/>
      <name val="Aptos Narrow"/>
      <family val="2"/>
      <scheme val="minor"/>
    </font>
    <font>
      <sz val="16"/>
      <color rgb="FFFF0000"/>
      <name val="Aptos Narrow"/>
      <family val="2"/>
      <scheme val="minor"/>
    </font>
    <font>
      <b/>
      <sz val="26"/>
      <color rgb="FFFF0000"/>
      <name val="Elephant"/>
      <family val="1"/>
    </font>
    <font>
      <b/>
      <sz val="8"/>
      <color rgb="FFFF0000"/>
      <name val="Tahoma"/>
      <family val="2"/>
    </font>
    <font>
      <sz val="8"/>
      <color indexed="8"/>
      <name val="Tahoma"/>
      <family val="2"/>
    </font>
    <font>
      <b/>
      <sz val="8"/>
      <color indexed="8"/>
      <name val="Tahoma"/>
      <family val="2"/>
    </font>
    <font>
      <b/>
      <sz val="8"/>
      <name val="Tahoma"/>
      <family val="2"/>
    </font>
    <font>
      <b/>
      <sz val="7"/>
      <name val="Tahoma"/>
      <family val="2"/>
    </font>
  </fonts>
  <fills count="5">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rgb="FFFFFF00"/>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alignment vertical="top"/>
    </xf>
    <xf numFmtId="0" fontId="3" fillId="0" borderId="0" applyNumberFormat="0" applyFill="0" applyBorder="0" applyAlignment="0" applyProtection="0"/>
  </cellStyleXfs>
  <cellXfs count="50">
    <xf numFmtId="0" fontId="0" fillId="0" borderId="0" xfId="0"/>
    <xf numFmtId="0" fontId="1" fillId="0" borderId="0" xfId="1">
      <alignment vertical="top"/>
    </xf>
    <xf numFmtId="14" fontId="1" fillId="0" borderId="0" xfId="1" applyNumberFormat="1">
      <alignment vertical="top"/>
    </xf>
    <xf numFmtId="8" fontId="1" fillId="0" borderId="0" xfId="1" applyNumberFormat="1">
      <alignment vertical="top"/>
    </xf>
    <xf numFmtId="0" fontId="2" fillId="2" borderId="0" xfId="1" applyFont="1" applyFill="1" applyAlignment="1">
      <alignment horizontal="center" vertical="center" wrapText="1"/>
    </xf>
    <xf numFmtId="0" fontId="4" fillId="2" borderId="0" xfId="2" applyFont="1" applyFill="1"/>
    <xf numFmtId="0" fontId="5" fillId="0" borderId="0" xfId="0" applyFont="1" applyAlignment="1">
      <alignment wrapText="1"/>
    </xf>
    <xf numFmtId="0" fontId="8" fillId="0" borderId="1" xfId="1" applyFont="1" applyBorder="1" applyAlignment="1">
      <alignment vertical="center"/>
    </xf>
    <xf numFmtId="0" fontId="8" fillId="0" borderId="0" xfId="1" applyFont="1" applyAlignment="1">
      <alignment vertical="center"/>
    </xf>
    <xf numFmtId="0" fontId="8" fillId="0" borderId="0" xfId="1" applyFont="1" applyAlignment="1">
      <alignment horizontal="center" vertical="center"/>
    </xf>
    <xf numFmtId="0" fontId="8" fillId="0" borderId="1" xfId="1" applyFont="1" applyBorder="1" applyAlignment="1">
      <alignment horizontal="center" vertical="center"/>
    </xf>
    <xf numFmtId="0" fontId="8" fillId="3" borderId="1" xfId="1" applyFont="1" applyFill="1" applyBorder="1" applyAlignment="1">
      <alignment vertical="center"/>
    </xf>
    <xf numFmtId="0" fontId="8" fillId="3" borderId="1" xfId="1" applyFont="1" applyFill="1" applyBorder="1" applyAlignment="1">
      <alignment horizontal="center" vertical="center"/>
    </xf>
    <xf numFmtId="14" fontId="8" fillId="0" borderId="1" xfId="1" applyNumberFormat="1" applyFont="1" applyBorder="1" applyAlignment="1">
      <alignment horizontal="center" vertical="center"/>
    </xf>
    <xf numFmtId="14" fontId="8" fillId="3" borderId="1" xfId="1" applyNumberFormat="1" applyFont="1" applyFill="1" applyBorder="1" applyAlignment="1">
      <alignment horizontal="center" vertical="center"/>
    </xf>
    <xf numFmtId="0" fontId="9" fillId="0" borderId="1" xfId="1" applyFont="1" applyBorder="1" applyAlignment="1">
      <alignment vertical="center" wrapText="1"/>
    </xf>
    <xf numFmtId="0" fontId="9" fillId="0" borderId="0" xfId="1" applyFont="1" applyAlignment="1">
      <alignment vertical="center" wrapText="1"/>
    </xf>
    <xf numFmtId="0" fontId="9" fillId="2" borderId="1" xfId="1" applyFont="1" applyFill="1" applyBorder="1" applyAlignment="1">
      <alignment horizontal="left" vertical="center"/>
    </xf>
    <xf numFmtId="0" fontId="8" fillId="0" borderId="1" xfId="1" applyFont="1" applyBorder="1" applyAlignment="1">
      <alignment horizontal="left" vertical="center"/>
    </xf>
    <xf numFmtId="0" fontId="8" fillId="0" borderId="5" xfId="1" applyFont="1" applyBorder="1" applyAlignment="1">
      <alignment vertical="center"/>
    </xf>
    <xf numFmtId="0" fontId="8" fillId="0" borderId="6" xfId="1" applyFont="1" applyBorder="1" applyAlignment="1">
      <alignment horizontal="center" vertical="center"/>
    </xf>
    <xf numFmtId="0" fontId="8" fillId="0" borderId="8" xfId="1" applyFont="1" applyBorder="1" applyAlignment="1">
      <alignment vertical="center"/>
    </xf>
    <xf numFmtId="0" fontId="8" fillId="0" borderId="9" xfId="1" applyFont="1" applyBorder="1" applyAlignment="1">
      <alignment horizontal="center" vertical="center"/>
    </xf>
    <xf numFmtId="0" fontId="7" fillId="2" borderId="2" xfId="1" applyFont="1" applyFill="1" applyBorder="1" applyAlignment="1">
      <alignment vertical="center"/>
    </xf>
    <xf numFmtId="0" fontId="7" fillId="2" borderId="3" xfId="1" applyFont="1" applyFill="1" applyBorder="1" applyAlignment="1">
      <alignment horizontal="center" vertical="center"/>
    </xf>
    <xf numFmtId="164" fontId="9" fillId="0" borderId="1" xfId="1" applyNumberFormat="1" applyFont="1" applyBorder="1" applyAlignment="1">
      <alignment horizontal="right" vertical="center"/>
    </xf>
    <xf numFmtId="164" fontId="9" fillId="3" borderId="1" xfId="1" applyNumberFormat="1" applyFont="1" applyFill="1" applyBorder="1" applyAlignment="1">
      <alignment horizontal="right" vertical="center"/>
    </xf>
    <xf numFmtId="164" fontId="9" fillId="0" borderId="6" xfId="1" applyNumberFormat="1" applyFont="1" applyBorder="1" applyAlignment="1">
      <alignment horizontal="right" vertical="center"/>
    </xf>
    <xf numFmtId="164" fontId="9" fillId="0" borderId="7" xfId="1" applyNumberFormat="1" applyFont="1" applyBorder="1" applyAlignment="1">
      <alignment horizontal="right" vertical="center"/>
    </xf>
    <xf numFmtId="164" fontId="9" fillId="0" borderId="9" xfId="1" applyNumberFormat="1" applyFont="1" applyBorder="1" applyAlignment="1">
      <alignment horizontal="right" vertical="center"/>
    </xf>
    <xf numFmtId="164" fontId="9" fillId="0" borderId="10" xfId="1" applyNumberFormat="1" applyFont="1" applyBorder="1" applyAlignment="1">
      <alignment horizontal="right" vertical="center"/>
    </xf>
    <xf numFmtId="164" fontId="9" fillId="0" borderId="0" xfId="1" applyNumberFormat="1" applyFont="1" applyAlignment="1">
      <alignment horizontal="right" vertical="center"/>
    </xf>
    <xf numFmtId="164" fontId="7" fillId="2" borderId="3" xfId="1" applyNumberFormat="1" applyFont="1" applyFill="1" applyBorder="1" applyAlignment="1">
      <alignment horizontal="right" vertical="center"/>
    </xf>
    <xf numFmtId="164" fontId="7" fillId="2" borderId="4" xfId="1" applyNumberFormat="1" applyFont="1" applyFill="1" applyBorder="1" applyAlignment="1">
      <alignment horizontal="right" vertical="center"/>
    </xf>
    <xf numFmtId="0" fontId="0" fillId="0" borderId="3" xfId="0" applyBorder="1" applyAlignment="1">
      <alignment horizontal="center" vertical="center"/>
    </xf>
    <xf numFmtId="0" fontId="0" fillId="0" borderId="4" xfId="0" applyBorder="1" applyAlignment="1">
      <alignment horizontal="center" vertical="center"/>
    </xf>
    <xf numFmtId="0" fontId="8" fillId="0" borderId="2" xfId="1" applyFont="1"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3" xfId="0" applyBorder="1" applyAlignment="1">
      <alignment vertical="center" wrapText="1"/>
    </xf>
    <xf numFmtId="0" fontId="8" fillId="0" borderId="2" xfId="1" applyFont="1" applyBorder="1" applyAlignment="1">
      <alignment horizontal="center" vertical="center" wrapText="1"/>
    </xf>
    <xf numFmtId="0" fontId="0" fillId="0" borderId="3" xfId="0" applyBorder="1" applyAlignment="1">
      <alignment horizontal="center" vertical="center" wrapText="1"/>
    </xf>
    <xf numFmtId="0" fontId="10" fillId="4" borderId="2" xfId="0"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0" fillId="0" borderId="1" xfId="0" applyFont="1" applyBorder="1" applyAlignment="1">
      <alignment vertical="center" wrapText="1"/>
    </xf>
    <xf numFmtId="0" fontId="10" fillId="0" borderId="4" xfId="0" applyFont="1" applyBorder="1" applyAlignment="1">
      <alignment horizontal="center" vertical="center" wrapText="1"/>
    </xf>
    <xf numFmtId="43" fontId="10" fillId="0" borderId="4" xfId="0" applyNumberFormat="1" applyFont="1" applyBorder="1" applyAlignment="1">
      <alignment vertical="center" wrapText="1"/>
    </xf>
    <xf numFmtId="0" fontId="10" fillId="0" borderId="1" xfId="0" applyFont="1" applyBorder="1" applyAlignment="1">
      <alignment horizontal="left" vertical="center" wrapText="1"/>
    </xf>
    <xf numFmtId="0" fontId="11" fillId="0" borderId="4" xfId="0" applyFont="1" applyBorder="1" applyAlignment="1">
      <alignment horizontal="center" vertical="center" wrapText="1"/>
    </xf>
  </cellXfs>
  <cellStyles count="3">
    <cellStyle name="Hyperlink" xfId="2" builtinId="8"/>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1066800</xdr:colOff>
          <xdr:row>27</xdr:row>
          <xdr:rowOff>7620</xdr:rowOff>
        </xdr:from>
        <xdr:to>
          <xdr:col>2</xdr:col>
          <xdr:colOff>7620</xdr:colOff>
          <xdr:row>32</xdr:row>
          <xdr:rowOff>99060</xdr:rowOff>
        </xdr:to>
        <xdr:sp macro="" textlink="">
          <xdr:nvSpPr>
            <xdr:cNvPr id="8195" name="Button 3" hidden="1">
              <a:extLst>
                <a:ext uri="{63B3BB69-23CF-44E3-9099-C40C66FF867C}">
                  <a14:compatExt spid="_x0000_s8195"/>
                </a:ext>
                <a:ext uri="{FF2B5EF4-FFF2-40B4-BE49-F238E27FC236}">
                  <a16:creationId xmlns:a16="http://schemas.microsoft.com/office/drawing/2014/main" xmlns="" id="{00000000-0008-0000-0100-000003200000}"/>
                </a:ext>
              </a:extLst>
            </xdr:cNvPr>
            <xdr:cNvSpPr/>
          </xdr:nvSpPr>
          <xdr:spPr bwMode="auto">
            <a:xfrm>
              <a:off x="0" y="0"/>
              <a:ext cx="0" cy="0"/>
            </a:xfrm>
            <a:prstGeom prst="rect">
              <a:avLst/>
            </a:prstGeom>
            <a:noFill/>
            <a:ln w="9525">
              <a:miter lim="800000"/>
              <a:headEnd/>
              <a:tailEnd/>
            </a:ln>
          </xdr:spPr>
          <xdr:txBody>
            <a:bodyPr vertOverflow="clip" wrap="square" lIns="91440" tIns="68580" rIns="91440" bIns="68580" anchor="ctr" upright="1"/>
            <a:lstStyle/>
            <a:p>
              <a:pPr algn="ctr" rtl="0">
                <a:defRPr sz="1000"/>
              </a:pPr>
              <a:r>
                <a:rPr lang="en-US" sz="2600" b="1" i="0" u="none" strike="noStrike" baseline="0">
                  <a:solidFill>
                    <a:srgbClr val="FF0000"/>
                  </a:solidFill>
                  <a:latin typeface="Elephant"/>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1066800</xdr:colOff>
          <xdr:row>33</xdr:row>
          <xdr:rowOff>76200</xdr:rowOff>
        </xdr:from>
        <xdr:to>
          <xdr:col>2</xdr:col>
          <xdr:colOff>7620</xdr:colOff>
          <xdr:row>39</xdr:row>
          <xdr:rowOff>38100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91440" tIns="68580" rIns="91440" bIns="68580" anchor="ctr" upright="1"/>
            <a:lstStyle/>
            <a:p>
              <a:pPr algn="ctr" rtl="0">
                <a:defRPr sz="1000"/>
              </a:pPr>
              <a:r>
                <a:rPr lang="en-US" sz="2600" b="1" i="0" u="none" strike="noStrike" baseline="0">
                  <a:solidFill>
                    <a:srgbClr val="FF0000"/>
                  </a:solidFill>
                  <a:latin typeface="Elephant"/>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1059180</xdr:colOff>
          <xdr:row>40</xdr:row>
          <xdr:rowOff>0</xdr:rowOff>
        </xdr:from>
        <xdr:to>
          <xdr:col>2</xdr:col>
          <xdr:colOff>0</xdr:colOff>
          <xdr:row>45</xdr:row>
          <xdr:rowOff>83820</xdr:rowOff>
        </xdr:to>
        <xdr:sp macro="" textlink="">
          <xdr:nvSpPr>
            <xdr:cNvPr id="8198" name="Button 6" hidden="1">
              <a:extLst>
                <a:ext uri="{63B3BB69-23CF-44E3-9099-C40C66FF867C}">
                  <a14:compatExt spid="_x0000_s8198"/>
                </a:ext>
                <a:ext uri="{FF2B5EF4-FFF2-40B4-BE49-F238E27FC236}">
                  <a16:creationId xmlns:a16="http://schemas.microsoft.com/office/drawing/2014/main" xmlns="" id="{00000000-0008-0000-0100-000006200000}"/>
                </a:ext>
              </a:extLst>
            </xdr:cNvPr>
            <xdr:cNvSpPr/>
          </xdr:nvSpPr>
          <xdr:spPr bwMode="auto">
            <a:xfrm>
              <a:off x="0" y="0"/>
              <a:ext cx="0" cy="0"/>
            </a:xfrm>
            <a:prstGeom prst="rect">
              <a:avLst/>
            </a:prstGeom>
            <a:noFill/>
            <a:ln w="9525">
              <a:miter lim="800000"/>
              <a:headEnd/>
              <a:tailEnd/>
            </a:ln>
          </xdr:spPr>
          <xdr:txBody>
            <a:bodyPr vertOverflow="clip" wrap="square" lIns="91440" tIns="68580" rIns="91440" bIns="68580" anchor="ctr" upright="1"/>
            <a:lstStyle/>
            <a:p>
              <a:pPr algn="ctr" rtl="0">
                <a:defRPr sz="1000"/>
              </a:pPr>
              <a:r>
                <a:rPr lang="en-US" sz="2600" b="1" i="0" u="none" strike="noStrike" baseline="0">
                  <a:solidFill>
                    <a:srgbClr val="FF0000"/>
                  </a:solidFill>
                  <a:latin typeface="Elephant"/>
                </a:rPr>
                <a:t>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hyperlink" Target="ms-excel:ofe|u|https://fortive-my.sharepoint.com/:x:/g/personal/r_seemangal_gordian_com/Ee4Vwf0c8O5Cmdbh0VtKdFoBO-DBeP-vQz2_6yzc55DXvA?e=pAGi6V"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
  <sheetViews>
    <sheetView workbookViewId="0">
      <selection activeCell="A11" sqref="A11"/>
    </sheetView>
  </sheetViews>
  <sheetFormatPr defaultRowHeight="13.8"/>
  <cols>
    <col min="1" max="1" width="81.8984375" bestFit="1" customWidth="1"/>
  </cols>
  <sheetData>
    <row r="1" spans="1:1" ht="231">
      <c r="A1" s="6" t="s">
        <v>0</v>
      </c>
    </row>
    <row r="2" spans="1:1" ht="21">
      <c r="A2" s="5" t="s">
        <v>1</v>
      </c>
    </row>
  </sheetData>
  <hyperlinks>
    <hyperlink ref="A2"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J25"/>
  <sheetViews>
    <sheetView workbookViewId="0">
      <selection sqref="A1:XFD1048576"/>
    </sheetView>
  </sheetViews>
  <sheetFormatPr defaultColWidth="6.8984375" defaultRowHeight="12.75" customHeight="1"/>
  <cols>
    <col min="1" max="1" width="17.3984375" style="1" customWidth="1"/>
    <col min="2" max="16384" width="6.8984375" style="1"/>
  </cols>
  <sheetData>
    <row r="1" spans="1:36" ht="43.5" customHeight="1">
      <c r="A1" s="4" t="s">
        <v>2</v>
      </c>
      <c r="B1" s="1" t="s">
        <v>38</v>
      </c>
    </row>
    <row r="2" spans="1:36" ht="12.75" customHeight="1">
      <c r="A2" s="1" t="s">
        <v>3</v>
      </c>
      <c r="B2" s="1" t="s">
        <v>39</v>
      </c>
    </row>
    <row r="3" spans="1:36" ht="12.75" customHeight="1">
      <c r="A3" s="1" t="s">
        <v>4</v>
      </c>
      <c r="B3" s="1" t="s">
        <v>40</v>
      </c>
    </row>
    <row r="4" spans="1:36" ht="12.75" customHeight="1">
      <c r="A4" s="1" t="s">
        <v>5</v>
      </c>
      <c r="B4" s="1" t="s">
        <v>41</v>
      </c>
    </row>
    <row r="5" spans="1:36" ht="12.75" customHeight="1">
      <c r="A5" s="1" t="s">
        <v>6</v>
      </c>
      <c r="F5" s="1" t="s">
        <v>7</v>
      </c>
      <c r="O5" s="1" t="s">
        <v>8</v>
      </c>
      <c r="X5" s="1" t="s">
        <v>9</v>
      </c>
      <c r="AE5" s="1" t="s">
        <v>10</v>
      </c>
    </row>
    <row r="6" spans="1:36" ht="12.75" customHeight="1">
      <c r="A6" s="1" t="s">
        <v>11</v>
      </c>
      <c r="B6" s="1" t="s">
        <v>12</v>
      </c>
      <c r="C6" s="1" t="s">
        <v>13</v>
      </c>
      <c r="D6" s="1" t="s">
        <v>14</v>
      </c>
      <c r="E6" s="1" t="s">
        <v>15</v>
      </c>
      <c r="F6" s="1" t="s">
        <v>16</v>
      </c>
      <c r="G6" s="1" t="s">
        <v>17</v>
      </c>
      <c r="H6" s="1" t="s">
        <v>18</v>
      </c>
      <c r="I6" s="1" t="s">
        <v>19</v>
      </c>
      <c r="J6" s="1" t="s">
        <v>20</v>
      </c>
      <c r="K6" s="1" t="s">
        <v>21</v>
      </c>
      <c r="L6" s="1" t="s">
        <v>22</v>
      </c>
      <c r="M6" s="1" t="s">
        <v>23</v>
      </c>
      <c r="N6" s="1" t="s">
        <v>24</v>
      </c>
      <c r="O6" s="1" t="s">
        <v>3</v>
      </c>
      <c r="P6" s="1" t="s">
        <v>2</v>
      </c>
      <c r="Q6" s="1" t="s">
        <v>25</v>
      </c>
      <c r="R6" s="1" t="s">
        <v>22</v>
      </c>
      <c r="S6" s="1" t="s">
        <v>23</v>
      </c>
      <c r="T6" s="1" t="s">
        <v>24</v>
      </c>
      <c r="U6" s="1" t="s">
        <v>26</v>
      </c>
      <c r="V6" s="1" t="s">
        <v>27</v>
      </c>
      <c r="W6" s="1" t="s">
        <v>4</v>
      </c>
      <c r="X6" s="1" t="s">
        <v>28</v>
      </c>
      <c r="Y6" s="1" t="s">
        <v>25</v>
      </c>
      <c r="Z6" s="1" t="s">
        <v>22</v>
      </c>
      <c r="AA6" s="1" t="s">
        <v>23</v>
      </c>
      <c r="AB6" s="1" t="s">
        <v>24</v>
      </c>
      <c r="AC6" s="1" t="s">
        <v>29</v>
      </c>
      <c r="AD6" s="1" t="s">
        <v>30</v>
      </c>
      <c r="AE6" s="1" t="s">
        <v>31</v>
      </c>
      <c r="AF6" s="1" t="s">
        <v>32</v>
      </c>
      <c r="AG6" s="1" t="s">
        <v>33</v>
      </c>
      <c r="AH6" s="1" t="s">
        <v>34</v>
      </c>
      <c r="AI6" s="1" t="s">
        <v>42</v>
      </c>
      <c r="AJ6" s="1" t="s">
        <v>35</v>
      </c>
    </row>
    <row r="7" spans="1:36" ht="12.75" customHeight="1">
      <c r="A7" s="1" t="s">
        <v>43</v>
      </c>
      <c r="B7" s="1" t="s">
        <v>40</v>
      </c>
      <c r="D7" s="1" t="s">
        <v>44</v>
      </c>
      <c r="F7" s="1" t="s">
        <v>45</v>
      </c>
      <c r="G7" s="1" t="s">
        <v>45</v>
      </c>
      <c r="H7" s="1" t="s">
        <v>46</v>
      </c>
      <c r="I7" s="2" t="s">
        <v>47</v>
      </c>
      <c r="J7" s="1" t="s">
        <v>41</v>
      </c>
      <c r="K7" s="1" t="s">
        <v>48</v>
      </c>
      <c r="L7" s="1" t="s">
        <v>49</v>
      </c>
      <c r="M7" s="1" t="s">
        <v>50</v>
      </c>
      <c r="N7" s="1" t="s">
        <v>51</v>
      </c>
      <c r="O7" s="1" t="s">
        <v>39</v>
      </c>
      <c r="P7" s="1" t="s">
        <v>38</v>
      </c>
      <c r="Q7" s="1" t="s">
        <v>52</v>
      </c>
      <c r="R7" s="1" t="s">
        <v>53</v>
      </c>
      <c r="S7" s="1" t="s">
        <v>54</v>
      </c>
      <c r="T7" s="1" t="s">
        <v>55</v>
      </c>
      <c r="U7" s="1" t="s">
        <v>56</v>
      </c>
      <c r="V7" s="1" t="s">
        <v>57</v>
      </c>
      <c r="W7" s="1" t="s">
        <v>58</v>
      </c>
      <c r="X7" s="1" t="s">
        <v>59</v>
      </c>
      <c r="Y7" s="1" t="s">
        <v>60</v>
      </c>
      <c r="Z7" s="1" t="s">
        <v>61</v>
      </c>
      <c r="AA7" s="1" t="s">
        <v>54</v>
      </c>
      <c r="AB7" s="1" t="s">
        <v>62</v>
      </c>
      <c r="AC7" s="1" t="s">
        <v>63</v>
      </c>
      <c r="AE7" s="1" t="s">
        <v>64</v>
      </c>
      <c r="AF7" s="1" t="s">
        <v>65</v>
      </c>
      <c r="AH7" s="3">
        <v>2188.67</v>
      </c>
      <c r="AI7" s="3">
        <v>2188.67</v>
      </c>
      <c r="AJ7" s="1" t="s">
        <v>66</v>
      </c>
    </row>
    <row r="8" spans="1:36" ht="12.75" customHeight="1">
      <c r="A8" s="1" t="s">
        <v>43</v>
      </c>
      <c r="B8" s="1" t="s">
        <v>40</v>
      </c>
      <c r="D8" s="1" t="s">
        <v>44</v>
      </c>
      <c r="F8" s="1" t="s">
        <v>45</v>
      </c>
      <c r="G8" s="1" t="s">
        <v>45</v>
      </c>
      <c r="H8" s="1" t="s">
        <v>67</v>
      </c>
      <c r="I8" s="2" t="s">
        <v>47</v>
      </c>
      <c r="J8" s="1" t="s">
        <v>41</v>
      </c>
      <c r="K8" s="1" t="s">
        <v>48</v>
      </c>
      <c r="L8" s="1" t="s">
        <v>49</v>
      </c>
      <c r="M8" s="1" t="s">
        <v>50</v>
      </c>
      <c r="N8" s="1" t="s">
        <v>51</v>
      </c>
      <c r="O8" s="1" t="s">
        <v>39</v>
      </c>
      <c r="P8" s="1" t="s">
        <v>38</v>
      </c>
      <c r="Q8" s="1" t="s">
        <v>52</v>
      </c>
      <c r="R8" s="1" t="s">
        <v>53</v>
      </c>
      <c r="S8" s="1" t="s">
        <v>54</v>
      </c>
      <c r="T8" s="1" t="s">
        <v>55</v>
      </c>
      <c r="U8" s="1" t="s">
        <v>56</v>
      </c>
      <c r="V8" s="1" t="s">
        <v>57</v>
      </c>
      <c r="W8" s="1" t="s">
        <v>58</v>
      </c>
      <c r="X8" s="1" t="s">
        <v>59</v>
      </c>
      <c r="Y8" s="1" t="s">
        <v>60</v>
      </c>
      <c r="Z8" s="1" t="s">
        <v>61</v>
      </c>
      <c r="AA8" s="1" t="s">
        <v>54</v>
      </c>
      <c r="AB8" s="1" t="s">
        <v>62</v>
      </c>
      <c r="AC8" s="1" t="s">
        <v>63</v>
      </c>
      <c r="AE8" s="1" t="s">
        <v>68</v>
      </c>
      <c r="AF8" s="1" t="s">
        <v>65</v>
      </c>
      <c r="AH8" s="3">
        <v>9035.2999999999993</v>
      </c>
      <c r="AI8" s="3">
        <v>9035.2999999999993</v>
      </c>
      <c r="AJ8" s="1" t="s">
        <v>66</v>
      </c>
    </row>
    <row r="9" spans="1:36" ht="12.75" customHeight="1">
      <c r="A9" s="1" t="s">
        <v>69</v>
      </c>
      <c r="B9" s="1" t="s">
        <v>70</v>
      </c>
      <c r="D9" s="1" t="s">
        <v>44</v>
      </c>
      <c r="F9" s="1" t="s">
        <v>45</v>
      </c>
      <c r="G9" s="1" t="s">
        <v>45</v>
      </c>
      <c r="H9" s="1" t="s">
        <v>46</v>
      </c>
      <c r="I9" s="2" t="s">
        <v>47</v>
      </c>
      <c r="J9" s="1" t="s">
        <v>41</v>
      </c>
      <c r="K9" s="1" t="s">
        <v>48</v>
      </c>
      <c r="L9" s="1" t="s">
        <v>49</v>
      </c>
      <c r="M9" s="1" t="s">
        <v>50</v>
      </c>
      <c r="N9" s="1" t="s">
        <v>51</v>
      </c>
      <c r="O9" s="1" t="s">
        <v>39</v>
      </c>
      <c r="P9" s="1" t="s">
        <v>38</v>
      </c>
      <c r="Q9" s="1" t="s">
        <v>52</v>
      </c>
      <c r="R9" s="1" t="s">
        <v>53</v>
      </c>
      <c r="S9" s="1" t="s">
        <v>54</v>
      </c>
      <c r="T9" s="1" t="s">
        <v>55</v>
      </c>
      <c r="U9" s="1" t="s">
        <v>56</v>
      </c>
      <c r="V9" s="1" t="s">
        <v>57</v>
      </c>
      <c r="W9" s="1" t="s">
        <v>58</v>
      </c>
      <c r="X9" s="1" t="s">
        <v>59</v>
      </c>
      <c r="Y9" s="1" t="s">
        <v>60</v>
      </c>
      <c r="Z9" s="1" t="s">
        <v>61</v>
      </c>
      <c r="AA9" s="1" t="s">
        <v>54</v>
      </c>
      <c r="AB9" s="1" t="s">
        <v>62</v>
      </c>
      <c r="AC9" s="1" t="s">
        <v>63</v>
      </c>
      <c r="AE9" s="1" t="s">
        <v>64</v>
      </c>
      <c r="AF9" s="1" t="s">
        <v>65</v>
      </c>
      <c r="AH9" s="3">
        <v>700.16</v>
      </c>
      <c r="AI9" s="3">
        <v>700.16</v>
      </c>
      <c r="AJ9" s="1" t="s">
        <v>66</v>
      </c>
    </row>
    <row r="10" spans="1:36" ht="12.75" customHeight="1">
      <c r="A10" s="1" t="s">
        <v>69</v>
      </c>
      <c r="B10" s="1" t="s">
        <v>70</v>
      </c>
      <c r="D10" s="1" t="s">
        <v>44</v>
      </c>
      <c r="F10" s="1" t="s">
        <v>45</v>
      </c>
      <c r="G10" s="1" t="s">
        <v>45</v>
      </c>
      <c r="H10" s="1" t="s">
        <v>67</v>
      </c>
      <c r="I10" s="2" t="s">
        <v>47</v>
      </c>
      <c r="J10" s="1" t="s">
        <v>41</v>
      </c>
      <c r="K10" s="1" t="s">
        <v>48</v>
      </c>
      <c r="L10" s="1" t="s">
        <v>49</v>
      </c>
      <c r="M10" s="1" t="s">
        <v>50</v>
      </c>
      <c r="N10" s="1" t="s">
        <v>51</v>
      </c>
      <c r="O10" s="1" t="s">
        <v>39</v>
      </c>
      <c r="P10" s="1" t="s">
        <v>38</v>
      </c>
      <c r="Q10" s="1" t="s">
        <v>52</v>
      </c>
      <c r="R10" s="1" t="s">
        <v>53</v>
      </c>
      <c r="S10" s="1" t="s">
        <v>54</v>
      </c>
      <c r="T10" s="1" t="s">
        <v>55</v>
      </c>
      <c r="U10" s="1" t="s">
        <v>56</v>
      </c>
      <c r="V10" s="1" t="s">
        <v>57</v>
      </c>
      <c r="W10" s="1" t="s">
        <v>58</v>
      </c>
      <c r="X10" s="1" t="s">
        <v>59</v>
      </c>
      <c r="Y10" s="1" t="s">
        <v>60</v>
      </c>
      <c r="Z10" s="1" t="s">
        <v>61</v>
      </c>
      <c r="AA10" s="1" t="s">
        <v>54</v>
      </c>
      <c r="AB10" s="1" t="s">
        <v>62</v>
      </c>
      <c r="AC10" s="1" t="s">
        <v>63</v>
      </c>
      <c r="AE10" s="1" t="s">
        <v>68</v>
      </c>
      <c r="AF10" s="1" t="s">
        <v>65</v>
      </c>
      <c r="AH10" s="3">
        <v>2890.42</v>
      </c>
      <c r="AI10" s="3">
        <v>2890.42</v>
      </c>
      <c r="AJ10" s="1" t="s">
        <v>66</v>
      </c>
    </row>
    <row r="11" spans="1:36" ht="12.75" customHeight="1">
      <c r="A11" s="1" t="s">
        <v>71</v>
      </c>
      <c r="B11" s="1" t="s">
        <v>72</v>
      </c>
      <c r="D11" s="1" t="s">
        <v>44</v>
      </c>
      <c r="F11" s="1" t="s">
        <v>45</v>
      </c>
      <c r="G11" s="1" t="s">
        <v>45</v>
      </c>
      <c r="H11" s="1" t="s">
        <v>46</v>
      </c>
      <c r="I11" s="2" t="s">
        <v>47</v>
      </c>
      <c r="J11" s="1" t="s">
        <v>41</v>
      </c>
      <c r="K11" s="1" t="s">
        <v>48</v>
      </c>
      <c r="L11" s="1" t="s">
        <v>49</v>
      </c>
      <c r="M11" s="1" t="s">
        <v>50</v>
      </c>
      <c r="N11" s="1" t="s">
        <v>51</v>
      </c>
      <c r="O11" s="1" t="s">
        <v>39</v>
      </c>
      <c r="P11" s="1" t="s">
        <v>38</v>
      </c>
      <c r="Q11" s="1" t="s">
        <v>52</v>
      </c>
      <c r="R11" s="1" t="s">
        <v>53</v>
      </c>
      <c r="S11" s="1" t="s">
        <v>54</v>
      </c>
      <c r="T11" s="1" t="s">
        <v>55</v>
      </c>
      <c r="U11" s="1" t="s">
        <v>56</v>
      </c>
      <c r="V11" s="1" t="s">
        <v>57</v>
      </c>
      <c r="W11" s="1" t="s">
        <v>58</v>
      </c>
      <c r="X11" s="1" t="s">
        <v>59</v>
      </c>
      <c r="Y11" s="1" t="s">
        <v>60</v>
      </c>
      <c r="Z11" s="1" t="s">
        <v>61</v>
      </c>
      <c r="AA11" s="1" t="s">
        <v>54</v>
      </c>
      <c r="AB11" s="1" t="s">
        <v>62</v>
      </c>
      <c r="AC11" s="1" t="s">
        <v>63</v>
      </c>
      <c r="AE11" s="1" t="s">
        <v>64</v>
      </c>
      <c r="AF11" s="1" t="s">
        <v>65</v>
      </c>
      <c r="AH11" s="3">
        <v>100.8</v>
      </c>
      <c r="AI11" s="3">
        <v>100.8</v>
      </c>
      <c r="AJ11" s="1" t="s">
        <v>66</v>
      </c>
    </row>
    <row r="12" spans="1:36" ht="12.75" customHeight="1">
      <c r="A12" s="1" t="s">
        <v>71</v>
      </c>
      <c r="B12" s="1" t="s">
        <v>72</v>
      </c>
      <c r="D12" s="1" t="s">
        <v>44</v>
      </c>
      <c r="F12" s="1" t="s">
        <v>45</v>
      </c>
      <c r="G12" s="1" t="s">
        <v>45</v>
      </c>
      <c r="H12" s="1" t="s">
        <v>67</v>
      </c>
      <c r="I12" s="2" t="s">
        <v>47</v>
      </c>
      <c r="J12" s="1" t="s">
        <v>41</v>
      </c>
      <c r="K12" s="1" t="s">
        <v>48</v>
      </c>
      <c r="L12" s="1" t="s">
        <v>49</v>
      </c>
      <c r="M12" s="1" t="s">
        <v>50</v>
      </c>
      <c r="N12" s="1" t="s">
        <v>51</v>
      </c>
      <c r="O12" s="1" t="s">
        <v>39</v>
      </c>
      <c r="P12" s="1" t="s">
        <v>38</v>
      </c>
      <c r="Q12" s="1" t="s">
        <v>52</v>
      </c>
      <c r="R12" s="1" t="s">
        <v>53</v>
      </c>
      <c r="S12" s="1" t="s">
        <v>54</v>
      </c>
      <c r="T12" s="1" t="s">
        <v>55</v>
      </c>
      <c r="U12" s="1" t="s">
        <v>56</v>
      </c>
      <c r="V12" s="1" t="s">
        <v>57</v>
      </c>
      <c r="W12" s="1" t="s">
        <v>58</v>
      </c>
      <c r="X12" s="1" t="s">
        <v>59</v>
      </c>
      <c r="Y12" s="1" t="s">
        <v>60</v>
      </c>
      <c r="Z12" s="1" t="s">
        <v>61</v>
      </c>
      <c r="AA12" s="1" t="s">
        <v>54</v>
      </c>
      <c r="AB12" s="1" t="s">
        <v>62</v>
      </c>
      <c r="AC12" s="1" t="s">
        <v>63</v>
      </c>
      <c r="AE12" s="1" t="s">
        <v>68</v>
      </c>
      <c r="AF12" s="1" t="s">
        <v>65</v>
      </c>
      <c r="AH12" s="3">
        <v>416.12</v>
      </c>
      <c r="AI12" s="3">
        <v>416.12</v>
      </c>
      <c r="AJ12" s="1" t="s">
        <v>66</v>
      </c>
    </row>
    <row r="13" spans="1:36" ht="12.75" customHeight="1">
      <c r="A13" s="1" t="s">
        <v>73</v>
      </c>
      <c r="B13" s="1" t="s">
        <v>74</v>
      </c>
      <c r="D13" s="1" t="s">
        <v>44</v>
      </c>
      <c r="F13" s="1" t="s">
        <v>45</v>
      </c>
      <c r="G13" s="1" t="s">
        <v>45</v>
      </c>
      <c r="H13" s="1" t="s">
        <v>46</v>
      </c>
      <c r="I13" s="2" t="s">
        <v>47</v>
      </c>
      <c r="J13" s="1" t="s">
        <v>41</v>
      </c>
      <c r="K13" s="1" t="s">
        <v>48</v>
      </c>
      <c r="L13" s="1" t="s">
        <v>49</v>
      </c>
      <c r="M13" s="1" t="s">
        <v>50</v>
      </c>
      <c r="N13" s="1" t="s">
        <v>51</v>
      </c>
      <c r="O13" s="1" t="s">
        <v>39</v>
      </c>
      <c r="P13" s="1" t="s">
        <v>38</v>
      </c>
      <c r="Q13" s="1" t="s">
        <v>52</v>
      </c>
      <c r="R13" s="1" t="s">
        <v>53</v>
      </c>
      <c r="S13" s="1" t="s">
        <v>54</v>
      </c>
      <c r="T13" s="1" t="s">
        <v>55</v>
      </c>
      <c r="U13" s="1" t="s">
        <v>56</v>
      </c>
      <c r="V13" s="1" t="s">
        <v>57</v>
      </c>
      <c r="W13" s="1" t="s">
        <v>58</v>
      </c>
      <c r="X13" s="1" t="s">
        <v>59</v>
      </c>
      <c r="Y13" s="1" t="s">
        <v>60</v>
      </c>
      <c r="Z13" s="1" t="s">
        <v>61</v>
      </c>
      <c r="AA13" s="1" t="s">
        <v>54</v>
      </c>
      <c r="AB13" s="1" t="s">
        <v>62</v>
      </c>
      <c r="AC13" s="1" t="s">
        <v>63</v>
      </c>
      <c r="AE13" s="1" t="s">
        <v>64</v>
      </c>
      <c r="AF13" s="1" t="s">
        <v>65</v>
      </c>
      <c r="AH13" s="3">
        <v>-100.8</v>
      </c>
      <c r="AI13" s="3">
        <v>-100.8</v>
      </c>
      <c r="AJ13" s="1" t="s">
        <v>66</v>
      </c>
    </row>
    <row r="14" spans="1:36" ht="12.75" customHeight="1">
      <c r="A14" s="1" t="s">
        <v>73</v>
      </c>
      <c r="B14" s="1" t="s">
        <v>74</v>
      </c>
      <c r="D14" s="1" t="s">
        <v>44</v>
      </c>
      <c r="F14" s="1" t="s">
        <v>45</v>
      </c>
      <c r="G14" s="1" t="s">
        <v>45</v>
      </c>
      <c r="H14" s="1" t="s">
        <v>67</v>
      </c>
      <c r="I14" s="2" t="s">
        <v>47</v>
      </c>
      <c r="J14" s="1" t="s">
        <v>41</v>
      </c>
      <c r="K14" s="1" t="s">
        <v>48</v>
      </c>
      <c r="L14" s="1" t="s">
        <v>49</v>
      </c>
      <c r="M14" s="1" t="s">
        <v>50</v>
      </c>
      <c r="N14" s="1" t="s">
        <v>51</v>
      </c>
      <c r="O14" s="1" t="s">
        <v>39</v>
      </c>
      <c r="P14" s="1" t="s">
        <v>38</v>
      </c>
      <c r="Q14" s="1" t="s">
        <v>52</v>
      </c>
      <c r="R14" s="1" t="s">
        <v>53</v>
      </c>
      <c r="S14" s="1" t="s">
        <v>54</v>
      </c>
      <c r="T14" s="1" t="s">
        <v>55</v>
      </c>
      <c r="U14" s="1" t="s">
        <v>56</v>
      </c>
      <c r="V14" s="1" t="s">
        <v>57</v>
      </c>
      <c r="W14" s="1" t="s">
        <v>58</v>
      </c>
      <c r="X14" s="1" t="s">
        <v>59</v>
      </c>
      <c r="Y14" s="1" t="s">
        <v>60</v>
      </c>
      <c r="Z14" s="1" t="s">
        <v>61</v>
      </c>
      <c r="AA14" s="1" t="s">
        <v>54</v>
      </c>
      <c r="AB14" s="1" t="s">
        <v>62</v>
      </c>
      <c r="AC14" s="1" t="s">
        <v>63</v>
      </c>
      <c r="AE14" s="1" t="s">
        <v>68</v>
      </c>
      <c r="AF14" s="1" t="s">
        <v>65</v>
      </c>
      <c r="AH14" s="3">
        <v>-416.12</v>
      </c>
      <c r="AI14" s="3">
        <v>-416.12</v>
      </c>
      <c r="AJ14" s="1" t="s">
        <v>66</v>
      </c>
    </row>
    <row r="15" spans="1:36" ht="12.75" customHeight="1">
      <c r="A15" s="1" t="s">
        <v>75</v>
      </c>
      <c r="B15" s="1" t="s">
        <v>76</v>
      </c>
      <c r="D15" s="1" t="s">
        <v>44</v>
      </c>
      <c r="F15" s="1" t="s">
        <v>45</v>
      </c>
      <c r="G15" s="1" t="s">
        <v>45</v>
      </c>
      <c r="H15" s="1" t="s">
        <v>46</v>
      </c>
      <c r="I15" s="2" t="s">
        <v>47</v>
      </c>
      <c r="J15" s="1" t="s">
        <v>41</v>
      </c>
      <c r="K15" s="1" t="s">
        <v>48</v>
      </c>
      <c r="L15" s="1" t="s">
        <v>49</v>
      </c>
      <c r="M15" s="1" t="s">
        <v>50</v>
      </c>
      <c r="N15" s="1" t="s">
        <v>51</v>
      </c>
      <c r="O15" s="1" t="s">
        <v>39</v>
      </c>
      <c r="P15" s="1" t="s">
        <v>38</v>
      </c>
      <c r="Q15" s="1" t="s">
        <v>52</v>
      </c>
      <c r="R15" s="1" t="s">
        <v>53</v>
      </c>
      <c r="S15" s="1" t="s">
        <v>54</v>
      </c>
      <c r="T15" s="1" t="s">
        <v>55</v>
      </c>
      <c r="U15" s="1" t="s">
        <v>56</v>
      </c>
      <c r="V15" s="1" t="s">
        <v>57</v>
      </c>
      <c r="W15" s="1" t="s">
        <v>58</v>
      </c>
      <c r="X15" s="1" t="s">
        <v>59</v>
      </c>
      <c r="Y15" s="1" t="s">
        <v>60</v>
      </c>
      <c r="Z15" s="1" t="s">
        <v>61</v>
      </c>
      <c r="AA15" s="1" t="s">
        <v>54</v>
      </c>
      <c r="AB15" s="1" t="s">
        <v>62</v>
      </c>
      <c r="AC15" s="1" t="s">
        <v>63</v>
      </c>
      <c r="AE15" s="1" t="s">
        <v>64</v>
      </c>
      <c r="AF15" s="1" t="s">
        <v>65</v>
      </c>
      <c r="AH15" s="3">
        <v>61.11</v>
      </c>
      <c r="AI15" s="3">
        <v>61.11</v>
      </c>
      <c r="AJ15" s="1" t="s">
        <v>66</v>
      </c>
    </row>
    <row r="16" spans="1:36" ht="12.75" customHeight="1">
      <c r="A16" s="1" t="s">
        <v>75</v>
      </c>
      <c r="B16" s="1" t="s">
        <v>76</v>
      </c>
      <c r="D16" s="1" t="s">
        <v>44</v>
      </c>
      <c r="F16" s="1" t="s">
        <v>45</v>
      </c>
      <c r="G16" s="1" t="s">
        <v>45</v>
      </c>
      <c r="H16" s="1" t="s">
        <v>67</v>
      </c>
      <c r="I16" s="2" t="s">
        <v>47</v>
      </c>
      <c r="J16" s="1" t="s">
        <v>41</v>
      </c>
      <c r="K16" s="1" t="s">
        <v>48</v>
      </c>
      <c r="L16" s="1" t="s">
        <v>49</v>
      </c>
      <c r="M16" s="1" t="s">
        <v>50</v>
      </c>
      <c r="N16" s="1" t="s">
        <v>51</v>
      </c>
      <c r="O16" s="1" t="s">
        <v>39</v>
      </c>
      <c r="P16" s="1" t="s">
        <v>38</v>
      </c>
      <c r="Q16" s="1" t="s">
        <v>52</v>
      </c>
      <c r="R16" s="1" t="s">
        <v>53</v>
      </c>
      <c r="S16" s="1" t="s">
        <v>54</v>
      </c>
      <c r="T16" s="1" t="s">
        <v>55</v>
      </c>
      <c r="U16" s="1" t="s">
        <v>56</v>
      </c>
      <c r="V16" s="1" t="s">
        <v>57</v>
      </c>
      <c r="W16" s="1" t="s">
        <v>58</v>
      </c>
      <c r="X16" s="1" t="s">
        <v>59</v>
      </c>
      <c r="Y16" s="1" t="s">
        <v>60</v>
      </c>
      <c r="Z16" s="1" t="s">
        <v>61</v>
      </c>
      <c r="AA16" s="1" t="s">
        <v>54</v>
      </c>
      <c r="AB16" s="1" t="s">
        <v>62</v>
      </c>
      <c r="AC16" s="1" t="s">
        <v>63</v>
      </c>
      <c r="AE16" s="1" t="s">
        <v>68</v>
      </c>
      <c r="AF16" s="1" t="s">
        <v>65</v>
      </c>
      <c r="AH16" s="3">
        <v>252.27</v>
      </c>
      <c r="AI16" s="3">
        <v>252.27</v>
      </c>
      <c r="AJ16" s="1" t="s">
        <v>66</v>
      </c>
    </row>
    <row r="17" spans="9:35" ht="12.75" customHeight="1">
      <c r="I17" s="2"/>
      <c r="AH17" s="3"/>
      <c r="AI17" s="3"/>
    </row>
    <row r="18" spans="9:35" ht="12.75" customHeight="1">
      <c r="AH18" s="3"/>
    </row>
    <row r="19" spans="9:35" ht="12.75" customHeight="1">
      <c r="AH19" s="3"/>
      <c r="AI19" s="3"/>
    </row>
    <row r="20" spans="9:35" ht="12.75" customHeight="1">
      <c r="AI20" s="3"/>
    </row>
    <row r="23" spans="9:35" ht="12.75" customHeight="1">
      <c r="AE23" s="1" t="s">
        <v>36</v>
      </c>
      <c r="AH23" s="1">
        <v>15127.93</v>
      </c>
    </row>
    <row r="24" spans="9:35" ht="12.75" customHeight="1">
      <c r="AE24" s="1" t="s">
        <v>37</v>
      </c>
      <c r="AH24" s="3"/>
      <c r="AI24" s="1">
        <v>15127.93</v>
      </c>
    </row>
    <row r="25" spans="9:35" ht="12.75" customHeight="1">
      <c r="AI25"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FillTemplateWithRawData">
                <anchor moveWithCells="1" sizeWithCells="1">
                  <from>
                    <xdr:col>0</xdr:col>
                    <xdr:colOff>1066800</xdr:colOff>
                    <xdr:row>27</xdr:row>
                    <xdr:rowOff>7620</xdr:rowOff>
                  </from>
                  <to>
                    <xdr:col>2</xdr:col>
                    <xdr:colOff>7620</xdr:colOff>
                    <xdr:row>32</xdr:row>
                    <xdr:rowOff>99060</xdr:rowOff>
                  </to>
                </anchor>
              </controlPr>
            </control>
          </mc:Choice>
        </mc:AlternateContent>
        <mc:AlternateContent xmlns:mc="http://schemas.openxmlformats.org/markup-compatibility/2006">
          <mc:Choice Requires="x14">
            <control shapeId="8196" r:id="rId5" name="Button 4">
              <controlPr defaultSize="0" print="0" autoFill="0" autoPict="0" macro="[0]!SaveFinalCopy">
                <anchor moveWithCells="1" sizeWithCells="1">
                  <from>
                    <xdr:col>0</xdr:col>
                    <xdr:colOff>1066800</xdr:colOff>
                    <xdr:row>33</xdr:row>
                    <xdr:rowOff>76200</xdr:rowOff>
                  </from>
                  <to>
                    <xdr:col>2</xdr:col>
                    <xdr:colOff>7620</xdr:colOff>
                    <xdr:row>39</xdr:row>
                    <xdr:rowOff>38100</xdr:rowOff>
                  </to>
                </anchor>
              </controlPr>
            </control>
          </mc:Choice>
        </mc:AlternateContent>
        <mc:AlternateContent xmlns:mc="http://schemas.openxmlformats.org/markup-compatibility/2006">
          <mc:Choice Requires="x14">
            <control shapeId="8198" r:id="rId6" name="Button 6">
              <controlPr defaultSize="0" print="0" autoFill="0" autoPict="0" macro="[0]!ResetCopiedData">
                <anchor moveWithCells="1" sizeWithCells="1">
                  <from>
                    <xdr:col>0</xdr:col>
                    <xdr:colOff>1059180</xdr:colOff>
                    <xdr:row>40</xdr:row>
                    <xdr:rowOff>0</xdr:rowOff>
                  </from>
                  <to>
                    <xdr:col>2</xdr:col>
                    <xdr:colOff>0</xdr:colOff>
                    <xdr:row>45</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pageSetUpPr autoPageBreaks="0"/>
  </sheetPr>
  <dimension ref="A1:AH21"/>
  <sheetViews>
    <sheetView showGridLines="0" tabSelected="1" topLeftCell="A4" workbookViewId="0">
      <selection activeCell="G22" sqref="G22"/>
    </sheetView>
  </sheetViews>
  <sheetFormatPr defaultColWidth="12.3984375" defaultRowHeight="10.199999999999999"/>
  <cols>
    <col min="1" max="1" width="38.69921875" style="9" bestFit="1" customWidth="1"/>
    <col min="2" max="2" width="8.8984375" style="9" bestFit="1" customWidth="1"/>
    <col min="3" max="3" width="6.09765625" style="9" bestFit="1" customWidth="1"/>
    <col min="4" max="4" width="7.69921875" style="9" bestFit="1" customWidth="1"/>
    <col min="5" max="5" width="9" style="9" bestFit="1" customWidth="1"/>
    <col min="6" max="6" width="8.69921875" style="9" bestFit="1" customWidth="1"/>
    <col min="7" max="7" width="12.3984375" style="9"/>
    <col min="8" max="8" width="13.59765625" style="9" bestFit="1" customWidth="1"/>
    <col min="9" max="9" width="11.69921875" style="9" bestFit="1" customWidth="1"/>
    <col min="10" max="10" width="12" style="9" bestFit="1" customWidth="1"/>
    <col min="11" max="11" width="9.3984375" style="9" bestFit="1" customWidth="1"/>
    <col min="12" max="12" width="5.3984375" style="9" bestFit="1" customWidth="1"/>
    <col min="13" max="13" width="7.8984375" style="9" bestFit="1" customWidth="1"/>
    <col min="14" max="14" width="9.59765625" style="9" bestFit="1" customWidth="1"/>
    <col min="15" max="15" width="14.69921875" style="9" bestFit="1" customWidth="1"/>
    <col min="16" max="16" width="8.3984375" style="9" bestFit="1" customWidth="1"/>
    <col min="17" max="17" width="5.3984375" style="9" bestFit="1" customWidth="1"/>
    <col min="18" max="18" width="7.8984375" style="9" bestFit="1" customWidth="1"/>
    <col min="19" max="19" width="12.8984375" style="9" bestFit="1" customWidth="1"/>
    <col min="20" max="20" width="16.69921875" style="9" bestFit="1" customWidth="1"/>
    <col min="21" max="21" width="7.8984375" style="9" bestFit="1" customWidth="1"/>
    <col min="22" max="22" width="7" style="9" bestFit="1" customWidth="1"/>
    <col min="23" max="23" width="17.8984375" style="9" bestFit="1" customWidth="1"/>
    <col min="24" max="24" width="12" style="9" bestFit="1" customWidth="1"/>
    <col min="25" max="25" width="5.3984375" style="9" bestFit="1" customWidth="1"/>
    <col min="26" max="26" width="7.8984375" style="9" bestFit="1" customWidth="1"/>
    <col min="27" max="28" width="16.296875" style="9" bestFit="1" customWidth="1"/>
    <col min="29" max="29" width="28.3984375" style="8" bestFit="1" customWidth="1"/>
    <col min="30" max="30" width="8" style="9" bestFit="1" customWidth="1"/>
    <col min="31" max="31" width="4.296875" style="9" bestFit="1" customWidth="1"/>
    <col min="32" max="32" width="10.09765625" style="8" bestFit="1" customWidth="1"/>
    <col min="33" max="33" width="12.296875" style="8" bestFit="1" customWidth="1"/>
    <col min="34" max="34" width="18.09765625" style="8" bestFit="1" customWidth="1"/>
    <col min="35" max="16384" width="12.3984375" style="8"/>
  </cols>
  <sheetData>
    <row r="1" spans="1:34">
      <c r="A1" s="17" t="s">
        <v>38</v>
      </c>
    </row>
    <row r="2" spans="1:34">
      <c r="A2" s="17" t="s">
        <v>39</v>
      </c>
    </row>
    <row r="3" spans="1:34">
      <c r="A3" s="17" t="s">
        <v>40</v>
      </c>
    </row>
    <row r="4" spans="1:34">
      <c r="A4" s="17" t="s">
        <v>41</v>
      </c>
    </row>
    <row r="5" spans="1:34" ht="13.8">
      <c r="A5" s="39" t="s">
        <v>81</v>
      </c>
      <c r="B5" s="37"/>
      <c r="C5" s="37"/>
      <c r="D5" s="38"/>
      <c r="E5" s="40" t="s">
        <v>82</v>
      </c>
      <c r="F5" s="34"/>
      <c r="G5" s="34"/>
      <c r="H5" s="34"/>
      <c r="I5" s="34"/>
      <c r="J5" s="34"/>
      <c r="K5" s="34"/>
      <c r="L5" s="34"/>
      <c r="M5" s="35"/>
      <c r="N5" s="41" t="s">
        <v>83</v>
      </c>
      <c r="O5" s="34"/>
      <c r="P5" s="34"/>
      <c r="Q5" s="34"/>
      <c r="R5" s="34"/>
      <c r="S5" s="34"/>
      <c r="T5" s="34"/>
      <c r="U5" s="35"/>
      <c r="V5" s="42" t="s">
        <v>84</v>
      </c>
      <c r="W5" s="43"/>
      <c r="X5" s="43"/>
      <c r="Y5" s="43"/>
      <c r="Z5" s="43"/>
      <c r="AA5" s="43"/>
      <c r="AB5" s="44"/>
      <c r="AC5" s="36" t="s">
        <v>10</v>
      </c>
      <c r="AD5" s="37"/>
      <c r="AE5" s="37"/>
      <c r="AF5" s="37"/>
      <c r="AG5" s="37"/>
      <c r="AH5" s="38"/>
    </row>
    <row r="6" spans="1:34" s="16" customFormat="1" ht="20.399999999999999">
      <c r="A6" s="48" t="s">
        <v>87</v>
      </c>
      <c r="B6" s="46" t="s">
        <v>13</v>
      </c>
      <c r="C6" s="46" t="s">
        <v>88</v>
      </c>
      <c r="D6" s="46" t="s">
        <v>15</v>
      </c>
      <c r="E6" s="46" t="s">
        <v>16</v>
      </c>
      <c r="F6" s="46" t="s">
        <v>17</v>
      </c>
      <c r="G6" s="46" t="s">
        <v>89</v>
      </c>
      <c r="H6" s="46" t="s">
        <v>90</v>
      </c>
      <c r="I6" s="46" t="s">
        <v>20</v>
      </c>
      <c r="J6" s="46" t="s">
        <v>21</v>
      </c>
      <c r="K6" s="46" t="s">
        <v>91</v>
      </c>
      <c r="L6" s="46" t="s">
        <v>92</v>
      </c>
      <c r="M6" s="46" t="s">
        <v>93</v>
      </c>
      <c r="N6" s="46" t="s">
        <v>94</v>
      </c>
      <c r="O6" s="46" t="s">
        <v>95</v>
      </c>
      <c r="P6" s="46" t="s">
        <v>96</v>
      </c>
      <c r="Q6" s="46" t="s">
        <v>97</v>
      </c>
      <c r="R6" s="46" t="s">
        <v>98</v>
      </c>
      <c r="S6" s="46" t="s">
        <v>99</v>
      </c>
      <c r="T6" s="46" t="s">
        <v>100</v>
      </c>
      <c r="U6" s="46" t="s">
        <v>4</v>
      </c>
      <c r="V6" s="46" t="s">
        <v>28</v>
      </c>
      <c r="W6" s="46" t="s">
        <v>101</v>
      </c>
      <c r="X6" s="46" t="s">
        <v>102</v>
      </c>
      <c r="Y6" s="46" t="s">
        <v>103</v>
      </c>
      <c r="Z6" s="46" t="s">
        <v>104</v>
      </c>
      <c r="AA6" s="49" t="s">
        <v>29</v>
      </c>
      <c r="AB6" s="49" t="s">
        <v>105</v>
      </c>
      <c r="AC6" s="45" t="s">
        <v>31</v>
      </c>
      <c r="AD6" s="46" t="s">
        <v>32</v>
      </c>
      <c r="AE6" s="46" t="s">
        <v>33</v>
      </c>
      <c r="AF6" s="47" t="s">
        <v>85</v>
      </c>
      <c r="AG6" s="15" t="s">
        <v>86</v>
      </c>
      <c r="AH6" s="15" t="s">
        <v>35</v>
      </c>
    </row>
    <row r="7" spans="1:34">
      <c r="A7" s="18" t="s">
        <v>40</v>
      </c>
      <c r="B7" s="10" t="s">
        <v>77</v>
      </c>
      <c r="C7" s="10" t="s">
        <v>44</v>
      </c>
      <c r="D7" s="10" t="s">
        <v>78</v>
      </c>
      <c r="E7" s="10" t="s">
        <v>45</v>
      </c>
      <c r="F7" s="10" t="s">
        <v>45</v>
      </c>
      <c r="G7" s="10" t="s">
        <v>46</v>
      </c>
      <c r="H7" s="13" t="s">
        <v>47</v>
      </c>
      <c r="I7" s="10" t="s">
        <v>41</v>
      </c>
      <c r="J7" s="10" t="s">
        <v>48</v>
      </c>
      <c r="K7" s="10" t="s">
        <v>49</v>
      </c>
      <c r="L7" s="10" t="s">
        <v>50</v>
      </c>
      <c r="M7" s="10" t="s">
        <v>51</v>
      </c>
      <c r="N7" s="10" t="s">
        <v>38</v>
      </c>
      <c r="O7" s="10" t="s">
        <v>52</v>
      </c>
      <c r="P7" s="10" t="s">
        <v>53</v>
      </c>
      <c r="Q7" s="10" t="s">
        <v>54</v>
      </c>
      <c r="R7" s="10" t="s">
        <v>55</v>
      </c>
      <c r="S7" s="10" t="s">
        <v>56</v>
      </c>
      <c r="T7" s="10" t="s">
        <v>57</v>
      </c>
      <c r="U7" s="10" t="s">
        <v>58</v>
      </c>
      <c r="V7" s="10" t="s">
        <v>59</v>
      </c>
      <c r="W7" s="10" t="s">
        <v>60</v>
      </c>
      <c r="X7" s="10" t="s">
        <v>61</v>
      </c>
      <c r="Y7" s="10" t="s">
        <v>54</v>
      </c>
      <c r="Z7" s="10" t="s">
        <v>62</v>
      </c>
      <c r="AA7" s="10" t="s">
        <v>63</v>
      </c>
      <c r="AB7" s="10"/>
      <c r="AC7" s="7" t="s">
        <v>64</v>
      </c>
      <c r="AD7" s="10" t="s">
        <v>65</v>
      </c>
      <c r="AE7" s="10" t="s">
        <v>79</v>
      </c>
      <c r="AF7" s="25">
        <v>2188.67</v>
      </c>
      <c r="AG7" s="25">
        <v>2188.67</v>
      </c>
      <c r="AH7" s="7" t="s">
        <v>66</v>
      </c>
    </row>
    <row r="8" spans="1:34">
      <c r="A8" s="18" t="s">
        <v>40</v>
      </c>
      <c r="B8" s="10" t="s">
        <v>77</v>
      </c>
      <c r="C8" s="10" t="s">
        <v>44</v>
      </c>
      <c r="D8" s="10" t="s">
        <v>78</v>
      </c>
      <c r="E8" s="10" t="s">
        <v>45</v>
      </c>
      <c r="F8" s="10" t="s">
        <v>45</v>
      </c>
      <c r="G8" s="10" t="s">
        <v>67</v>
      </c>
      <c r="H8" s="13" t="s">
        <v>47</v>
      </c>
      <c r="I8" s="10" t="s">
        <v>41</v>
      </c>
      <c r="J8" s="10" t="s">
        <v>48</v>
      </c>
      <c r="K8" s="10" t="s">
        <v>49</v>
      </c>
      <c r="L8" s="10" t="s">
        <v>50</v>
      </c>
      <c r="M8" s="10" t="s">
        <v>51</v>
      </c>
      <c r="N8" s="10" t="s">
        <v>38</v>
      </c>
      <c r="O8" s="10" t="s">
        <v>52</v>
      </c>
      <c r="P8" s="10" t="s">
        <v>53</v>
      </c>
      <c r="Q8" s="10" t="s">
        <v>54</v>
      </c>
      <c r="R8" s="10" t="s">
        <v>55</v>
      </c>
      <c r="S8" s="10" t="s">
        <v>56</v>
      </c>
      <c r="T8" s="10" t="s">
        <v>57</v>
      </c>
      <c r="U8" s="10" t="s">
        <v>58</v>
      </c>
      <c r="V8" s="10" t="s">
        <v>59</v>
      </c>
      <c r="W8" s="10" t="s">
        <v>60</v>
      </c>
      <c r="X8" s="10" t="s">
        <v>61</v>
      </c>
      <c r="Y8" s="10" t="s">
        <v>54</v>
      </c>
      <c r="Z8" s="10" t="s">
        <v>62</v>
      </c>
      <c r="AA8" s="10" t="s">
        <v>63</v>
      </c>
      <c r="AB8" s="10"/>
      <c r="AC8" s="7" t="s">
        <v>68</v>
      </c>
      <c r="AD8" s="10" t="s">
        <v>65</v>
      </c>
      <c r="AE8" s="10" t="s">
        <v>79</v>
      </c>
      <c r="AF8" s="25">
        <v>9035.2999999999993</v>
      </c>
      <c r="AG8" s="25">
        <v>9035.2999999999993</v>
      </c>
      <c r="AH8" s="7" t="s">
        <v>66</v>
      </c>
    </row>
    <row r="9" spans="1:34">
      <c r="A9" s="18" t="s">
        <v>70</v>
      </c>
      <c r="B9" s="10" t="s">
        <v>77</v>
      </c>
      <c r="C9" s="10" t="s">
        <v>44</v>
      </c>
      <c r="D9" s="10" t="s">
        <v>78</v>
      </c>
      <c r="E9" s="10" t="s">
        <v>45</v>
      </c>
      <c r="F9" s="10" t="s">
        <v>45</v>
      </c>
      <c r="G9" s="10" t="s">
        <v>46</v>
      </c>
      <c r="H9" s="13" t="s">
        <v>47</v>
      </c>
      <c r="I9" s="10" t="s">
        <v>41</v>
      </c>
      <c r="J9" s="10" t="s">
        <v>48</v>
      </c>
      <c r="K9" s="10" t="s">
        <v>49</v>
      </c>
      <c r="L9" s="10" t="s">
        <v>50</v>
      </c>
      <c r="M9" s="10" t="s">
        <v>51</v>
      </c>
      <c r="N9" s="10" t="s">
        <v>38</v>
      </c>
      <c r="O9" s="10" t="s">
        <v>52</v>
      </c>
      <c r="P9" s="10" t="s">
        <v>53</v>
      </c>
      <c r="Q9" s="10" t="s">
        <v>54</v>
      </c>
      <c r="R9" s="10" t="s">
        <v>55</v>
      </c>
      <c r="S9" s="10" t="s">
        <v>56</v>
      </c>
      <c r="T9" s="10" t="s">
        <v>57</v>
      </c>
      <c r="U9" s="10" t="s">
        <v>58</v>
      </c>
      <c r="V9" s="10" t="s">
        <v>59</v>
      </c>
      <c r="W9" s="10" t="s">
        <v>60</v>
      </c>
      <c r="X9" s="10" t="s">
        <v>61</v>
      </c>
      <c r="Y9" s="10" t="s">
        <v>54</v>
      </c>
      <c r="Z9" s="10" t="s">
        <v>62</v>
      </c>
      <c r="AA9" s="10" t="s">
        <v>63</v>
      </c>
      <c r="AB9" s="10"/>
      <c r="AC9" s="7" t="s">
        <v>64</v>
      </c>
      <c r="AD9" s="10" t="s">
        <v>65</v>
      </c>
      <c r="AE9" s="10" t="s">
        <v>79</v>
      </c>
      <c r="AF9" s="25">
        <v>700.16</v>
      </c>
      <c r="AG9" s="25">
        <v>700.16</v>
      </c>
      <c r="AH9" s="7" t="s">
        <v>66</v>
      </c>
    </row>
    <row r="10" spans="1:34">
      <c r="A10" s="18" t="s">
        <v>70</v>
      </c>
      <c r="B10" s="10" t="s">
        <v>77</v>
      </c>
      <c r="C10" s="10" t="s">
        <v>44</v>
      </c>
      <c r="D10" s="10" t="s">
        <v>78</v>
      </c>
      <c r="E10" s="10" t="s">
        <v>45</v>
      </c>
      <c r="F10" s="10" t="s">
        <v>45</v>
      </c>
      <c r="G10" s="10" t="s">
        <v>67</v>
      </c>
      <c r="H10" s="13" t="s">
        <v>47</v>
      </c>
      <c r="I10" s="10" t="s">
        <v>41</v>
      </c>
      <c r="J10" s="10" t="s">
        <v>48</v>
      </c>
      <c r="K10" s="10" t="s">
        <v>49</v>
      </c>
      <c r="L10" s="10" t="s">
        <v>50</v>
      </c>
      <c r="M10" s="10" t="s">
        <v>51</v>
      </c>
      <c r="N10" s="10" t="s">
        <v>38</v>
      </c>
      <c r="O10" s="10" t="s">
        <v>52</v>
      </c>
      <c r="P10" s="10" t="s">
        <v>53</v>
      </c>
      <c r="Q10" s="10" t="s">
        <v>54</v>
      </c>
      <c r="R10" s="10" t="s">
        <v>55</v>
      </c>
      <c r="S10" s="10" t="s">
        <v>56</v>
      </c>
      <c r="T10" s="10" t="s">
        <v>57</v>
      </c>
      <c r="U10" s="10" t="s">
        <v>58</v>
      </c>
      <c r="V10" s="10" t="s">
        <v>59</v>
      </c>
      <c r="W10" s="10" t="s">
        <v>60</v>
      </c>
      <c r="X10" s="10" t="s">
        <v>61</v>
      </c>
      <c r="Y10" s="10" t="s">
        <v>54</v>
      </c>
      <c r="Z10" s="10" t="s">
        <v>62</v>
      </c>
      <c r="AA10" s="10" t="s">
        <v>63</v>
      </c>
      <c r="AB10" s="10"/>
      <c r="AC10" s="7" t="s">
        <v>68</v>
      </c>
      <c r="AD10" s="10" t="s">
        <v>65</v>
      </c>
      <c r="AE10" s="10" t="s">
        <v>79</v>
      </c>
      <c r="AF10" s="25">
        <v>2890.42</v>
      </c>
      <c r="AG10" s="25">
        <v>2890.42</v>
      </c>
      <c r="AH10" s="7" t="s">
        <v>66</v>
      </c>
    </row>
    <row r="11" spans="1:34">
      <c r="A11" s="18" t="s">
        <v>72</v>
      </c>
      <c r="B11" s="10" t="s">
        <v>77</v>
      </c>
      <c r="C11" s="10" t="s">
        <v>44</v>
      </c>
      <c r="D11" s="10" t="s">
        <v>78</v>
      </c>
      <c r="E11" s="10" t="s">
        <v>45</v>
      </c>
      <c r="F11" s="10" t="s">
        <v>45</v>
      </c>
      <c r="G11" s="10" t="s">
        <v>46</v>
      </c>
      <c r="H11" s="13" t="s">
        <v>47</v>
      </c>
      <c r="I11" s="10" t="s">
        <v>41</v>
      </c>
      <c r="J11" s="10" t="s">
        <v>48</v>
      </c>
      <c r="K11" s="10" t="s">
        <v>49</v>
      </c>
      <c r="L11" s="10" t="s">
        <v>50</v>
      </c>
      <c r="M11" s="10" t="s">
        <v>51</v>
      </c>
      <c r="N11" s="10" t="s">
        <v>38</v>
      </c>
      <c r="O11" s="10" t="s">
        <v>52</v>
      </c>
      <c r="P11" s="10" t="s">
        <v>53</v>
      </c>
      <c r="Q11" s="10" t="s">
        <v>54</v>
      </c>
      <c r="R11" s="10" t="s">
        <v>55</v>
      </c>
      <c r="S11" s="10" t="s">
        <v>56</v>
      </c>
      <c r="T11" s="10" t="s">
        <v>57</v>
      </c>
      <c r="U11" s="10" t="s">
        <v>58</v>
      </c>
      <c r="V11" s="10" t="s">
        <v>59</v>
      </c>
      <c r="W11" s="10" t="s">
        <v>60</v>
      </c>
      <c r="X11" s="10" t="s">
        <v>61</v>
      </c>
      <c r="Y11" s="10" t="s">
        <v>54</v>
      </c>
      <c r="Z11" s="10" t="s">
        <v>62</v>
      </c>
      <c r="AA11" s="10" t="s">
        <v>63</v>
      </c>
      <c r="AB11" s="10"/>
      <c r="AC11" s="7" t="s">
        <v>64</v>
      </c>
      <c r="AD11" s="10" t="s">
        <v>65</v>
      </c>
      <c r="AE11" s="10" t="s">
        <v>79</v>
      </c>
      <c r="AF11" s="25">
        <v>100.8</v>
      </c>
      <c r="AG11" s="25">
        <v>100.8</v>
      </c>
      <c r="AH11" s="7" t="s">
        <v>66</v>
      </c>
    </row>
    <row r="12" spans="1:34">
      <c r="A12" s="18" t="s">
        <v>72</v>
      </c>
      <c r="B12" s="10" t="s">
        <v>77</v>
      </c>
      <c r="C12" s="10" t="s">
        <v>44</v>
      </c>
      <c r="D12" s="10" t="s">
        <v>78</v>
      </c>
      <c r="E12" s="10" t="s">
        <v>45</v>
      </c>
      <c r="F12" s="10" t="s">
        <v>45</v>
      </c>
      <c r="G12" s="10" t="s">
        <v>67</v>
      </c>
      <c r="H12" s="13" t="s">
        <v>47</v>
      </c>
      <c r="I12" s="10" t="s">
        <v>41</v>
      </c>
      <c r="J12" s="10" t="s">
        <v>48</v>
      </c>
      <c r="K12" s="10" t="s">
        <v>49</v>
      </c>
      <c r="L12" s="10" t="s">
        <v>50</v>
      </c>
      <c r="M12" s="10" t="s">
        <v>51</v>
      </c>
      <c r="N12" s="10" t="s">
        <v>38</v>
      </c>
      <c r="O12" s="10" t="s">
        <v>52</v>
      </c>
      <c r="P12" s="10" t="s">
        <v>53</v>
      </c>
      <c r="Q12" s="10" t="s">
        <v>54</v>
      </c>
      <c r="R12" s="10" t="s">
        <v>55</v>
      </c>
      <c r="S12" s="10" t="s">
        <v>56</v>
      </c>
      <c r="T12" s="10" t="s">
        <v>57</v>
      </c>
      <c r="U12" s="10" t="s">
        <v>58</v>
      </c>
      <c r="V12" s="10" t="s">
        <v>59</v>
      </c>
      <c r="W12" s="10" t="s">
        <v>60</v>
      </c>
      <c r="X12" s="10" t="s">
        <v>61</v>
      </c>
      <c r="Y12" s="10" t="s">
        <v>54</v>
      </c>
      <c r="Z12" s="10" t="s">
        <v>62</v>
      </c>
      <c r="AA12" s="10" t="s">
        <v>63</v>
      </c>
      <c r="AB12" s="10"/>
      <c r="AC12" s="7" t="s">
        <v>68</v>
      </c>
      <c r="AD12" s="10" t="s">
        <v>65</v>
      </c>
      <c r="AE12" s="10" t="s">
        <v>79</v>
      </c>
      <c r="AF12" s="25">
        <v>416.12</v>
      </c>
      <c r="AG12" s="25">
        <v>416.12</v>
      </c>
      <c r="AH12" s="7" t="s">
        <v>66</v>
      </c>
    </row>
    <row r="13" spans="1:34">
      <c r="A13" s="18" t="s">
        <v>74</v>
      </c>
      <c r="B13" s="10" t="s">
        <v>77</v>
      </c>
      <c r="C13" s="10" t="s">
        <v>44</v>
      </c>
      <c r="D13" s="10" t="s">
        <v>78</v>
      </c>
      <c r="E13" s="10" t="s">
        <v>45</v>
      </c>
      <c r="F13" s="10" t="s">
        <v>45</v>
      </c>
      <c r="G13" s="10" t="s">
        <v>46</v>
      </c>
      <c r="H13" s="13" t="s">
        <v>47</v>
      </c>
      <c r="I13" s="10" t="s">
        <v>41</v>
      </c>
      <c r="J13" s="10" t="s">
        <v>48</v>
      </c>
      <c r="K13" s="10" t="s">
        <v>49</v>
      </c>
      <c r="L13" s="10" t="s">
        <v>50</v>
      </c>
      <c r="M13" s="10" t="s">
        <v>51</v>
      </c>
      <c r="N13" s="10" t="s">
        <v>38</v>
      </c>
      <c r="O13" s="10" t="s">
        <v>52</v>
      </c>
      <c r="P13" s="10" t="s">
        <v>53</v>
      </c>
      <c r="Q13" s="10" t="s">
        <v>54</v>
      </c>
      <c r="R13" s="10" t="s">
        <v>55</v>
      </c>
      <c r="S13" s="10" t="s">
        <v>56</v>
      </c>
      <c r="T13" s="10" t="s">
        <v>57</v>
      </c>
      <c r="U13" s="10" t="s">
        <v>58</v>
      </c>
      <c r="V13" s="10" t="s">
        <v>59</v>
      </c>
      <c r="W13" s="10" t="s">
        <v>60</v>
      </c>
      <c r="X13" s="10" t="s">
        <v>61</v>
      </c>
      <c r="Y13" s="10" t="s">
        <v>54</v>
      </c>
      <c r="Z13" s="10" t="s">
        <v>62</v>
      </c>
      <c r="AA13" s="10" t="s">
        <v>63</v>
      </c>
      <c r="AB13" s="10"/>
      <c r="AC13" s="7" t="s">
        <v>64</v>
      </c>
      <c r="AD13" s="10" t="s">
        <v>65</v>
      </c>
      <c r="AE13" s="10" t="s">
        <v>79</v>
      </c>
      <c r="AF13" s="25">
        <v>-100.8</v>
      </c>
      <c r="AG13" s="25">
        <v>-100.8</v>
      </c>
      <c r="AH13" s="7" t="s">
        <v>66</v>
      </c>
    </row>
    <row r="14" spans="1:34">
      <c r="A14" s="18" t="s">
        <v>74</v>
      </c>
      <c r="B14" s="10" t="s">
        <v>77</v>
      </c>
      <c r="C14" s="10" t="s">
        <v>44</v>
      </c>
      <c r="D14" s="10" t="s">
        <v>78</v>
      </c>
      <c r="E14" s="10" t="s">
        <v>45</v>
      </c>
      <c r="F14" s="10" t="s">
        <v>45</v>
      </c>
      <c r="G14" s="10" t="s">
        <v>67</v>
      </c>
      <c r="H14" s="13" t="s">
        <v>47</v>
      </c>
      <c r="I14" s="10" t="s">
        <v>41</v>
      </c>
      <c r="J14" s="10" t="s">
        <v>48</v>
      </c>
      <c r="K14" s="10" t="s">
        <v>49</v>
      </c>
      <c r="L14" s="10" t="s">
        <v>50</v>
      </c>
      <c r="M14" s="10" t="s">
        <v>51</v>
      </c>
      <c r="N14" s="10" t="s">
        <v>38</v>
      </c>
      <c r="O14" s="10" t="s">
        <v>52</v>
      </c>
      <c r="P14" s="10" t="s">
        <v>53</v>
      </c>
      <c r="Q14" s="10" t="s">
        <v>54</v>
      </c>
      <c r="R14" s="10" t="s">
        <v>55</v>
      </c>
      <c r="S14" s="10" t="s">
        <v>56</v>
      </c>
      <c r="T14" s="10" t="s">
        <v>57</v>
      </c>
      <c r="U14" s="10" t="s">
        <v>58</v>
      </c>
      <c r="V14" s="10" t="s">
        <v>59</v>
      </c>
      <c r="W14" s="10" t="s">
        <v>60</v>
      </c>
      <c r="X14" s="10" t="s">
        <v>61</v>
      </c>
      <c r="Y14" s="10" t="s">
        <v>54</v>
      </c>
      <c r="Z14" s="10" t="s">
        <v>62</v>
      </c>
      <c r="AA14" s="10" t="s">
        <v>63</v>
      </c>
      <c r="AB14" s="10"/>
      <c r="AC14" s="7" t="s">
        <v>68</v>
      </c>
      <c r="AD14" s="10" t="s">
        <v>65</v>
      </c>
      <c r="AE14" s="10" t="s">
        <v>79</v>
      </c>
      <c r="AF14" s="25">
        <v>-416.12</v>
      </c>
      <c r="AG14" s="25">
        <v>-416.12</v>
      </c>
      <c r="AH14" s="7" t="s">
        <v>66</v>
      </c>
    </row>
    <row r="15" spans="1:34">
      <c r="A15" s="18" t="s">
        <v>76</v>
      </c>
      <c r="B15" s="10" t="s">
        <v>77</v>
      </c>
      <c r="C15" s="10" t="s">
        <v>44</v>
      </c>
      <c r="D15" s="10" t="s">
        <v>78</v>
      </c>
      <c r="E15" s="10" t="s">
        <v>45</v>
      </c>
      <c r="F15" s="10" t="s">
        <v>45</v>
      </c>
      <c r="G15" s="10" t="s">
        <v>46</v>
      </c>
      <c r="H15" s="13" t="s">
        <v>47</v>
      </c>
      <c r="I15" s="10" t="s">
        <v>41</v>
      </c>
      <c r="J15" s="10" t="s">
        <v>48</v>
      </c>
      <c r="K15" s="10" t="s">
        <v>49</v>
      </c>
      <c r="L15" s="10" t="s">
        <v>50</v>
      </c>
      <c r="M15" s="10" t="s">
        <v>51</v>
      </c>
      <c r="N15" s="10" t="s">
        <v>38</v>
      </c>
      <c r="O15" s="10" t="s">
        <v>52</v>
      </c>
      <c r="P15" s="10" t="s">
        <v>53</v>
      </c>
      <c r="Q15" s="10" t="s">
        <v>54</v>
      </c>
      <c r="R15" s="10" t="s">
        <v>55</v>
      </c>
      <c r="S15" s="10" t="s">
        <v>56</v>
      </c>
      <c r="T15" s="10" t="s">
        <v>57</v>
      </c>
      <c r="U15" s="10" t="s">
        <v>58</v>
      </c>
      <c r="V15" s="10" t="s">
        <v>59</v>
      </c>
      <c r="W15" s="10" t="s">
        <v>60</v>
      </c>
      <c r="X15" s="10" t="s">
        <v>61</v>
      </c>
      <c r="Y15" s="10" t="s">
        <v>54</v>
      </c>
      <c r="Z15" s="10" t="s">
        <v>62</v>
      </c>
      <c r="AA15" s="10" t="s">
        <v>63</v>
      </c>
      <c r="AB15" s="10"/>
      <c r="AC15" s="7" t="s">
        <v>64</v>
      </c>
      <c r="AD15" s="10" t="s">
        <v>65</v>
      </c>
      <c r="AE15" s="10" t="s">
        <v>79</v>
      </c>
      <c r="AF15" s="25">
        <v>61.11</v>
      </c>
      <c r="AG15" s="25">
        <v>61.11</v>
      </c>
      <c r="AH15" s="7" t="s">
        <v>66</v>
      </c>
    </row>
    <row r="16" spans="1:34">
      <c r="A16" s="18" t="s">
        <v>76</v>
      </c>
      <c r="B16" s="10" t="s">
        <v>77</v>
      </c>
      <c r="C16" s="10" t="s">
        <v>44</v>
      </c>
      <c r="D16" s="10" t="s">
        <v>78</v>
      </c>
      <c r="E16" s="10" t="s">
        <v>45</v>
      </c>
      <c r="F16" s="10" t="s">
        <v>45</v>
      </c>
      <c r="G16" s="10" t="s">
        <v>67</v>
      </c>
      <c r="H16" s="13" t="s">
        <v>47</v>
      </c>
      <c r="I16" s="10" t="s">
        <v>41</v>
      </c>
      <c r="J16" s="10" t="s">
        <v>48</v>
      </c>
      <c r="K16" s="10" t="s">
        <v>49</v>
      </c>
      <c r="L16" s="10" t="s">
        <v>50</v>
      </c>
      <c r="M16" s="10" t="s">
        <v>51</v>
      </c>
      <c r="N16" s="10" t="s">
        <v>38</v>
      </c>
      <c r="O16" s="10" t="s">
        <v>52</v>
      </c>
      <c r="P16" s="10" t="s">
        <v>53</v>
      </c>
      <c r="Q16" s="10" t="s">
        <v>54</v>
      </c>
      <c r="R16" s="10" t="s">
        <v>55</v>
      </c>
      <c r="S16" s="10" t="s">
        <v>56</v>
      </c>
      <c r="T16" s="10" t="s">
        <v>57</v>
      </c>
      <c r="U16" s="10" t="s">
        <v>58</v>
      </c>
      <c r="V16" s="10" t="s">
        <v>59</v>
      </c>
      <c r="W16" s="10" t="s">
        <v>60</v>
      </c>
      <c r="X16" s="10" t="s">
        <v>61</v>
      </c>
      <c r="Y16" s="10" t="s">
        <v>54</v>
      </c>
      <c r="Z16" s="10" t="s">
        <v>62</v>
      </c>
      <c r="AA16" s="10" t="s">
        <v>63</v>
      </c>
      <c r="AB16" s="10"/>
      <c r="AC16" s="7" t="s">
        <v>68</v>
      </c>
      <c r="AD16" s="10" t="s">
        <v>65</v>
      </c>
      <c r="AE16" s="10" t="s">
        <v>79</v>
      </c>
      <c r="AF16" s="25">
        <v>252.27</v>
      </c>
      <c r="AG16" s="25">
        <v>252.27</v>
      </c>
      <c r="AH16" s="7" t="s">
        <v>66</v>
      </c>
    </row>
    <row r="17" spans="1:34">
      <c r="A17" s="12"/>
      <c r="B17" s="12"/>
      <c r="C17" s="12"/>
      <c r="D17" s="12"/>
      <c r="E17" s="12"/>
      <c r="F17" s="12"/>
      <c r="G17" s="12"/>
      <c r="H17" s="14"/>
      <c r="I17" s="12"/>
      <c r="J17" s="12"/>
      <c r="K17" s="12"/>
      <c r="L17" s="12"/>
      <c r="M17" s="12"/>
      <c r="N17" s="12"/>
      <c r="O17" s="12"/>
      <c r="P17" s="12"/>
      <c r="Q17" s="12"/>
      <c r="R17" s="12"/>
      <c r="S17" s="12"/>
      <c r="T17" s="12"/>
      <c r="U17" s="12"/>
      <c r="V17" s="12"/>
      <c r="W17" s="12"/>
      <c r="X17" s="12"/>
      <c r="Y17" s="12"/>
      <c r="Z17" s="12"/>
      <c r="AA17" s="12"/>
      <c r="AB17" s="12"/>
      <c r="AC17" s="11"/>
      <c r="AD17" s="12"/>
      <c r="AE17" s="12"/>
      <c r="AF17" s="26"/>
      <c r="AG17" s="26"/>
      <c r="AH17" s="11"/>
    </row>
    <row r="18" spans="1:34">
      <c r="AC18" s="19" t="s">
        <v>36</v>
      </c>
      <c r="AD18" s="20"/>
      <c r="AE18" s="20"/>
      <c r="AF18" s="27">
        <v>15127.93</v>
      </c>
      <c r="AG18" s="28"/>
    </row>
    <row r="19" spans="1:34">
      <c r="AC19" s="21" t="s">
        <v>37</v>
      </c>
      <c r="AD19" s="22"/>
      <c r="AE19" s="22"/>
      <c r="AF19" s="29"/>
      <c r="AG19" s="30">
        <v>15127.93</v>
      </c>
    </row>
    <row r="20" spans="1:34">
      <c r="AF20" s="31"/>
      <c r="AG20" s="31"/>
    </row>
    <row r="21" spans="1:34">
      <c r="AC21" s="23" t="s">
        <v>80</v>
      </c>
      <c r="AD21" s="24"/>
      <c r="AE21" s="24"/>
      <c r="AF21" s="32"/>
      <c r="AG21" s="33">
        <f>SUM(AG19:AG20)</f>
        <v>15127.93</v>
      </c>
    </row>
  </sheetData>
  <mergeCells count="5">
    <mergeCell ref="N5:U5"/>
    <mergeCell ref="V5:AB5"/>
    <mergeCell ref="AC5:AH5"/>
    <mergeCell ref="A5:D5"/>
    <mergeCell ref="E5:M5"/>
  </mergeCells>
  <pageMargins left="0.25" right="0.25" top="0.25" bottom="0.25" header="0" footer="0"/>
  <pageSetup fitToWidth="0" fitToHeight="0" orientation="portrait" horizontalDpi="0" verticalDpi="0"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Template</vt:lpstr>
      <vt:lpstr>RawData</vt:lpstr>
    </vt:vector>
  </TitlesOfParts>
  <Manager/>
  <Company>NYCDoE</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Gonzalez</dc:creator>
  <cp:keywords/>
  <dc:description/>
  <cp:lastModifiedBy>NYCDOE</cp:lastModifiedBy>
  <cp:revision/>
  <dcterms:created xsi:type="dcterms:W3CDTF">2025-03-20T16:09:39Z</dcterms:created>
  <dcterms:modified xsi:type="dcterms:W3CDTF">2025-05-15T20:42:42Z</dcterms:modified>
  <cp:category/>
  <cp:contentStatus/>
</cp:coreProperties>
</file>